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626ce1c77ac31c/Desktop/Bootcamp/100-Days-Linux-DevOps-SRE-Tech-Stack/2026/Day-77/Project Documentation/"/>
    </mc:Choice>
  </mc:AlternateContent>
  <xr:revisionPtr revIDLastSave="1" documentId="11_CDE8B54656465AA8A2DEBFAAD3F285E7AE4BF229" xr6:coauthVersionLast="47" xr6:coauthVersionMax="47" xr10:uidLastSave="{B4F4D0BD-8FC7-42B1-BB48-2B244782FFAD}"/>
  <bookViews>
    <workbookView xWindow="31065" yWindow="2265" windowWidth="21600" windowHeight="11235" xr2:uid="{00000000-000D-0000-FFFF-FFFF00000000}"/>
  </bookViews>
  <sheets>
    <sheet name="C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F47" i="1"/>
  <c r="G46" i="1"/>
  <c r="E46" i="1"/>
  <c r="G45" i="1"/>
  <c r="E45" i="1"/>
  <c r="E44" i="1"/>
  <c r="G44" i="1" s="1"/>
  <c r="E43" i="1"/>
  <c r="G43" i="1" s="1"/>
  <c r="G42" i="1"/>
  <c r="E42" i="1"/>
  <c r="E41" i="1"/>
  <c r="G41" i="1" s="1"/>
  <c r="G47" i="1" l="1"/>
  <c r="G49" i="1" s="1"/>
  <c r="F49" i="1"/>
</calcChain>
</file>

<file path=xl/sharedStrings.xml><?xml version="1.0" encoding="utf-8"?>
<sst xmlns="http://schemas.openxmlformats.org/spreadsheetml/2006/main" count="143" uniqueCount="129">
  <si>
    <t>CTR FORM – COST, TIME &amp; RESOURCE</t>
  </si>
  <si>
    <t>Commercial-style planning document for the NIT Bank Linux Process Operations Lab.</t>
  </si>
  <si>
    <t>1. Project Information</t>
  </si>
  <si>
    <t>Project</t>
  </si>
  <si>
    <t>Contract No.</t>
  </si>
  <si>
    <t>TRAINING-2026</t>
  </si>
  <si>
    <t>Work Order</t>
  </si>
  <si>
    <t>LPX-001</t>
  </si>
  <si>
    <t>Revision</t>
  </si>
  <si>
    <t>01</t>
  </si>
  <si>
    <t>Contractor</t>
  </si>
  <si>
    <t>Nexus Institute of Technology</t>
  </si>
  <si>
    <t>Customer</t>
  </si>
  <si>
    <t>NIT Bank Training Division</t>
  </si>
  <si>
    <t>Status</t>
  </si>
  <si>
    <t>For Training Approval</t>
  </si>
  <si>
    <t>Date</t>
  </si>
  <si>
    <t>Planned Start</t>
  </si>
  <si>
    <t>Planned Finish</t>
  </si>
  <si>
    <t>Duration</t>
  </si>
  <si>
    <t>15 Working Days</t>
  </si>
  <si>
    <t>Working Hours</t>
  </si>
  <si>
    <t>105 Hours</t>
  </si>
  <si>
    <t>CTR / Activity No.</t>
  </si>
  <si>
    <t>HS-100</t>
  </si>
  <si>
    <t>Title</t>
  </si>
  <si>
    <t>Linux Process Operations Project</t>
  </si>
  <si>
    <t>Prepared By</t>
  </si>
  <si>
    <t>Project Controls</t>
  </si>
  <si>
    <t>Checked By</t>
  </si>
  <si>
    <t>Instructor</t>
  </si>
  <si>
    <t>Business Objective</t>
  </si>
  <si>
    <t>Train students to deliver a controlled Linux process-management change using business documentation, technical implementation, testing, incident recovery and formal acceptance.</t>
  </si>
  <si>
    <t>2. Activity Description</t>
  </si>
  <si>
    <t>1</t>
  </si>
  <si>
    <t>Create the project charter, CTR, PMP, NCD, ITQ register and master schedule.</t>
  </si>
  <si>
    <t>2</t>
  </si>
  <si>
    <t>Confirm student roster, VM inventory, root access, repositories and rollback snapshots.</t>
  </si>
  <si>
    <t>3</t>
  </si>
  <si>
    <t>Create long-running, CPU-intensive, parent-child and zombie process demonstrations.</t>
  </si>
  <si>
    <t>4</t>
  </si>
  <si>
    <t>Test foreground/background jobs, signals, priorities, nohup and /proc.</t>
  </si>
  <si>
    <t>5</t>
  </si>
  <si>
    <t>Create a dedicated service account and systemd-managed report-generator service.</t>
  </si>
  <si>
    <t>6</t>
  </si>
  <si>
    <t>Simulate a bank operations incident involving high CPU and service interruption.</t>
  </si>
  <si>
    <t>7</t>
  </si>
  <si>
    <t>Execute validation tests, capture evidence and restore the service.</t>
  </si>
  <si>
    <t>8</t>
  </si>
  <si>
    <t>Complete the incident report, business acceptance and lessons learned.</t>
  </si>
  <si>
    <t>3. Input Requirements / Customer Prerequisites</t>
  </si>
  <si>
    <t>I01</t>
  </si>
  <si>
    <t>One assigned Rocky Linux 9 VM per student in Xen Orchestra.</t>
  </si>
  <si>
    <t>I02</t>
  </si>
  <si>
    <t>Direct root account access limited to the assigned training VM.</t>
  </si>
  <si>
    <t>I03</t>
  </si>
  <si>
    <t>Working Rocky repositories and permission to install procps-ng, psmisc, gcc and tree.</t>
  </si>
  <si>
    <t>I04</t>
  </si>
  <si>
    <t>Xen Orchestra console access or lab-administrator support for recovery.</t>
  </si>
  <si>
    <t>I05</t>
  </si>
  <si>
    <t>Approved pre-change snapshot and evidence-storage location.</t>
  </si>
  <si>
    <t>I06</t>
  </si>
  <si>
    <t>Student roster, VM naming convention and project working hours.</t>
  </si>
  <si>
    <t>I07</t>
  </si>
  <si>
    <t>Approval to use a synthetic bank scenario with no real customer or production data.</t>
  </si>
  <si>
    <t>I08</t>
  </si>
  <si>
    <t>Instructor availability for Go/No-Go, incident simulation and acceptance.</t>
  </si>
  <si>
    <t>4. Outputs / Deliverables</t>
  </si>
  <si>
    <t>D01</t>
  </si>
  <si>
    <t>Approved CTR, PMP, NCD, ITQ Register and Master Schedule.</t>
  </si>
  <si>
    <t>D02</t>
  </si>
  <si>
    <t>Linux Process Functional Design Specification and student implementation guide.</t>
  </si>
  <si>
    <t>D03</t>
  </si>
  <si>
    <t>Working process-lab scripts and systemd service on each student VM.</t>
  </si>
  <si>
    <t>D04</t>
  </si>
  <si>
    <t>Completed validation evidence and automated validation result.</t>
  </si>
  <si>
    <t>D05</t>
  </si>
  <si>
    <t>Bank-style incident report showing root cause, corrective actions and recovery.</t>
  </si>
  <si>
    <t>D06</t>
  </si>
  <si>
    <t>Student presentation, lessons learned and project closure approval.</t>
  </si>
  <si>
    <t>5. Cost, Time and Resource Estimate</t>
  </si>
  <si>
    <t>Resource / Role</t>
  </si>
  <si>
    <t>Qty</t>
  </si>
  <si>
    <t>Planned Hours</t>
  </si>
  <si>
    <t>Hourly Rate (USD)</t>
  </si>
  <si>
    <t>Labour Cost</t>
  </si>
  <si>
    <t>Other Cost</t>
  </si>
  <si>
    <t>Total Cost</t>
  </si>
  <si>
    <t>Notes</t>
  </si>
  <si>
    <t>Project Manager / Instructor</t>
  </si>
  <si>
    <t>Scope, approvals, schedule, reviews and closure.</t>
  </si>
  <si>
    <t>Linux Technical Lead</t>
  </si>
  <si>
    <t>FDS, technical coaching, troubleshooting and acceptance.</t>
  </si>
  <si>
    <t>Xen Orchestra / Lab Administrator</t>
  </si>
  <si>
    <t>VM allocation, snapshots and recovery support.</t>
  </si>
  <si>
    <t>Business Analyst / Document Controller</t>
  </si>
  <si>
    <t>CTR, ITQ, revisions, evidence and final pack.</t>
  </si>
  <si>
    <t>Student Team (training hours)</t>
  </si>
  <si>
    <t>Tracked as learning effort; not externally billed.</t>
  </si>
  <si>
    <t>Software / Licensing</t>
  </si>
  <si>
    <t>Rocky Linux and project tools are open source/existing.</t>
  </si>
  <si>
    <t>Contingency</t>
  </si>
  <si>
    <t>10% of paid labour cost.</t>
  </si>
  <si>
    <t>TOTAL ESTIMATED PROJECT COST</t>
  </si>
  <si>
    <t>6. Notes, Assumptions and Exclusions</t>
  </si>
  <si>
    <t>A01</t>
  </si>
  <si>
    <t>The project is a classroom simulation and must not use real bank customer data, production credentials or production systems.</t>
  </si>
  <si>
    <t>A02</t>
  </si>
  <si>
    <t>Every student works only on the assigned Xen Orchestra VM and is responsible for recording the VM hostname and IP.</t>
  </si>
  <si>
    <t>A03</t>
  </si>
  <si>
    <t>Students temporarily use direct root accounts for the learning environment; production environments should use named accounts and least privilege.</t>
  </si>
  <si>
    <t>A04</t>
  </si>
  <si>
    <t>The baseline assumes one Rocky Linux 9 VM per student, 1 vCPU, 1 GB RAM and 20 GB disk.</t>
  </si>
  <si>
    <t>A05</t>
  </si>
  <si>
    <t>Schedule begins only after VM access, repositories, snapshots and evidence storage are available.</t>
  </si>
  <si>
    <t>A06</t>
  </si>
  <si>
    <t>Actual classroom cost depends on instructor rates, class size and lab infrastructure already owned by the institute.</t>
  </si>
  <si>
    <t>A07</t>
  </si>
  <si>
    <t>High availability, real banking application integration, 24x7 support and external monitoring are excluded.</t>
  </si>
  <si>
    <t>A08</t>
  </si>
  <si>
    <t>Acceptance requires successful technical validation, incident recovery, evidence submission and instructor sign-off.</t>
  </si>
  <si>
    <t>7. Approval</t>
  </si>
  <si>
    <t>Role</t>
  </si>
  <si>
    <t>Signature</t>
  </si>
  <si>
    <t>Reviewed By</t>
  </si>
  <si>
    <t>Approved By</t>
  </si>
  <si>
    <t>Business Acceptance</t>
  </si>
  <si>
    <t>NIT Bank Training Sponsor</t>
  </si>
  <si>
    <t>NEXUS Ventures Linux Process Operations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</si>
</sst>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7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2"/>
      <color rgb="FFFFFFFF"/>
      <name val="Carlito"/>
    </font>
    <font>
      <sz val="9"/>
      <color rgb="FF1F1F1F"/>
      <name val="Carlito"/>
    </font>
    <font>
      <b/>
      <sz val="10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6" fillId="2" borderId="0" xfId="0" applyFont="1" applyFill="1"/>
    <xf numFmtId="165" fontId="4" fillId="0" borderId="0" xfId="0" applyNumberFormat="1" applyFont="1" applyAlignment="1">
      <alignment vertical="top" wrapText="1"/>
    </xf>
    <xf numFmtId="165" fontId="0" fillId="0" borderId="0" xfId="0" applyNumberFormat="1"/>
    <xf numFmtId="165" fontId="6" fillId="2" borderId="0" xfId="0" applyNumberFormat="1" applyFont="1" applyFill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/>
    <xf numFmtId="165" fontId="6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27" workbookViewId="0">
      <selection activeCell="B5" sqref="B5"/>
    </sheetView>
  </sheetViews>
  <sheetFormatPr defaultRowHeight="13.8"/>
  <cols>
    <col min="1" max="1" width="23" customWidth="1"/>
    <col min="2" max="2" width="27" customWidth="1"/>
    <col min="3" max="3" width="18" customWidth="1"/>
    <col min="4" max="4" width="28" customWidth="1"/>
    <col min="5" max="5" width="18" customWidth="1"/>
    <col min="6" max="6" width="16" customWidth="1"/>
    <col min="7" max="7" width="18" customWidth="1"/>
    <col min="8" max="8" width="30" customWidth="1"/>
  </cols>
  <sheetData>
    <row r="1" spans="1:8" ht="24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22.35" customHeight="1">
      <c r="A2" s="9" t="s">
        <v>1</v>
      </c>
      <c r="B2" s="9"/>
      <c r="C2" s="9"/>
      <c r="D2" s="9"/>
      <c r="E2" s="9"/>
      <c r="F2" s="9"/>
      <c r="G2" s="9"/>
      <c r="H2" s="9"/>
    </row>
    <row r="4" spans="1:8" ht="19.2" customHeight="1">
      <c r="A4" s="10" t="s">
        <v>2</v>
      </c>
      <c r="B4" s="10"/>
      <c r="C4" s="10"/>
      <c r="D4" s="10"/>
      <c r="E4" s="10"/>
      <c r="F4" s="10"/>
      <c r="G4" s="10"/>
      <c r="H4" s="10"/>
    </row>
    <row r="5" spans="1:8" ht="22.8">
      <c r="A5" s="1" t="s">
        <v>3</v>
      </c>
      <c r="B5" s="1" t="s">
        <v>128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>
      <c r="A6" s="1" t="s">
        <v>10</v>
      </c>
      <c r="B6" s="2" t="s">
        <v>11</v>
      </c>
      <c r="C6" s="1" t="s">
        <v>12</v>
      </c>
      <c r="D6" s="2" t="s">
        <v>13</v>
      </c>
      <c r="E6" s="1" t="s">
        <v>14</v>
      </c>
      <c r="F6" s="1" t="s">
        <v>15</v>
      </c>
      <c r="G6" s="1" t="s">
        <v>16</v>
      </c>
      <c r="H6" s="2">
        <v>46224</v>
      </c>
    </row>
    <row r="7" spans="1:8">
      <c r="A7" s="1" t="s">
        <v>17</v>
      </c>
      <c r="B7" s="2">
        <v>46230</v>
      </c>
      <c r="C7" s="1" t="s">
        <v>18</v>
      </c>
      <c r="D7" s="2">
        <v>46248</v>
      </c>
      <c r="E7" s="1" t="s">
        <v>19</v>
      </c>
      <c r="F7" s="1" t="s">
        <v>20</v>
      </c>
      <c r="G7" s="1" t="s">
        <v>21</v>
      </c>
      <c r="H7" s="1" t="s">
        <v>22</v>
      </c>
    </row>
    <row r="8" spans="1:8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</row>
    <row r="9" spans="1:8">
      <c r="A9" s="1" t="s">
        <v>31</v>
      </c>
      <c r="B9" s="11" t="s">
        <v>32</v>
      </c>
      <c r="C9" s="11"/>
      <c r="D9" s="11"/>
      <c r="E9" s="11"/>
      <c r="F9" s="11"/>
      <c r="G9" s="11"/>
      <c r="H9" s="11"/>
    </row>
    <row r="11" spans="1:8" ht="19.2" customHeight="1">
      <c r="A11" s="10" t="s">
        <v>33</v>
      </c>
      <c r="B11" s="10"/>
      <c r="C11" s="10"/>
      <c r="D11" s="10"/>
      <c r="E11" s="10"/>
      <c r="F11" s="10"/>
      <c r="G11" s="10"/>
      <c r="H11" s="10"/>
    </row>
    <row r="12" spans="1:8">
      <c r="A12" s="1" t="s">
        <v>34</v>
      </c>
      <c r="B12" s="11" t="s">
        <v>35</v>
      </c>
      <c r="C12" s="11"/>
      <c r="D12" s="11"/>
      <c r="E12" s="11"/>
      <c r="F12" s="11"/>
      <c r="G12" s="11"/>
      <c r="H12" s="11"/>
    </row>
    <row r="13" spans="1:8">
      <c r="A13" s="1" t="s">
        <v>36</v>
      </c>
      <c r="B13" s="11" t="s">
        <v>37</v>
      </c>
      <c r="C13" s="11"/>
      <c r="D13" s="11"/>
      <c r="E13" s="11"/>
      <c r="F13" s="11"/>
      <c r="G13" s="11"/>
      <c r="H13" s="11"/>
    </row>
    <row r="14" spans="1:8">
      <c r="A14" s="1" t="s">
        <v>38</v>
      </c>
      <c r="B14" s="11" t="s">
        <v>39</v>
      </c>
      <c r="C14" s="11"/>
      <c r="D14" s="11"/>
      <c r="E14" s="11"/>
      <c r="F14" s="11"/>
      <c r="G14" s="11"/>
      <c r="H14" s="11"/>
    </row>
    <row r="15" spans="1:8">
      <c r="A15" s="1" t="s">
        <v>40</v>
      </c>
      <c r="B15" s="11" t="s">
        <v>41</v>
      </c>
      <c r="C15" s="11"/>
      <c r="D15" s="11"/>
      <c r="E15" s="11"/>
      <c r="F15" s="11"/>
      <c r="G15" s="11"/>
      <c r="H15" s="11"/>
    </row>
    <row r="16" spans="1:8">
      <c r="A16" s="1" t="s">
        <v>42</v>
      </c>
      <c r="B16" s="11" t="s">
        <v>43</v>
      </c>
      <c r="C16" s="11"/>
      <c r="D16" s="11"/>
      <c r="E16" s="11"/>
      <c r="F16" s="11"/>
      <c r="G16" s="11"/>
      <c r="H16" s="11"/>
    </row>
    <row r="17" spans="1:8">
      <c r="A17" s="1" t="s">
        <v>44</v>
      </c>
      <c r="B17" s="11" t="s">
        <v>45</v>
      </c>
      <c r="C17" s="11"/>
      <c r="D17" s="11"/>
      <c r="E17" s="11"/>
      <c r="F17" s="11"/>
      <c r="G17" s="11"/>
      <c r="H17" s="11"/>
    </row>
    <row r="18" spans="1:8">
      <c r="A18" s="1" t="s">
        <v>46</v>
      </c>
      <c r="B18" s="11" t="s">
        <v>47</v>
      </c>
      <c r="C18" s="11"/>
      <c r="D18" s="11"/>
      <c r="E18" s="11"/>
      <c r="F18" s="11"/>
      <c r="G18" s="11"/>
      <c r="H18" s="11"/>
    </row>
    <row r="19" spans="1:8">
      <c r="A19" s="1" t="s">
        <v>48</v>
      </c>
      <c r="B19" s="11" t="s">
        <v>49</v>
      </c>
      <c r="C19" s="11"/>
      <c r="D19" s="11"/>
      <c r="E19" s="11"/>
      <c r="F19" s="11"/>
      <c r="G19" s="11"/>
      <c r="H19" s="11"/>
    </row>
    <row r="21" spans="1:8" ht="19.2" customHeight="1">
      <c r="A21" s="10" t="s">
        <v>50</v>
      </c>
      <c r="B21" s="10"/>
      <c r="C21" s="10"/>
      <c r="D21" s="10"/>
      <c r="E21" s="10"/>
      <c r="F21" s="10"/>
      <c r="G21" s="10"/>
      <c r="H21" s="10"/>
    </row>
    <row r="22" spans="1:8">
      <c r="A22" s="1" t="s">
        <v>51</v>
      </c>
      <c r="B22" s="11" t="s">
        <v>52</v>
      </c>
      <c r="C22" s="11"/>
      <c r="D22" s="11"/>
      <c r="E22" s="11"/>
      <c r="F22" s="11"/>
      <c r="G22" s="11"/>
      <c r="H22" s="11"/>
    </row>
    <row r="23" spans="1:8">
      <c r="A23" s="1" t="s">
        <v>53</v>
      </c>
      <c r="B23" s="11" t="s">
        <v>54</v>
      </c>
      <c r="C23" s="11"/>
      <c r="D23" s="11"/>
      <c r="E23" s="11"/>
      <c r="F23" s="11"/>
      <c r="G23" s="11"/>
      <c r="H23" s="11"/>
    </row>
    <row r="24" spans="1:8">
      <c r="A24" s="1" t="s">
        <v>55</v>
      </c>
      <c r="B24" s="11" t="s">
        <v>56</v>
      </c>
      <c r="C24" s="11"/>
      <c r="D24" s="11"/>
      <c r="E24" s="11"/>
      <c r="F24" s="11"/>
      <c r="G24" s="11"/>
      <c r="H24" s="11"/>
    </row>
    <row r="25" spans="1:8">
      <c r="A25" s="1" t="s">
        <v>57</v>
      </c>
      <c r="B25" s="11" t="s">
        <v>58</v>
      </c>
      <c r="C25" s="11"/>
      <c r="D25" s="11"/>
      <c r="E25" s="11"/>
      <c r="F25" s="11"/>
      <c r="G25" s="11"/>
      <c r="H25" s="11"/>
    </row>
    <row r="26" spans="1:8">
      <c r="A26" s="1" t="s">
        <v>59</v>
      </c>
      <c r="B26" s="11" t="s">
        <v>60</v>
      </c>
      <c r="C26" s="11"/>
      <c r="D26" s="11"/>
      <c r="E26" s="11"/>
      <c r="F26" s="11"/>
      <c r="G26" s="11"/>
      <c r="H26" s="11"/>
    </row>
    <row r="27" spans="1:8">
      <c r="A27" s="1" t="s">
        <v>61</v>
      </c>
      <c r="B27" s="11" t="s">
        <v>62</v>
      </c>
      <c r="C27" s="11"/>
      <c r="D27" s="11"/>
      <c r="E27" s="11"/>
      <c r="F27" s="11"/>
      <c r="G27" s="11"/>
      <c r="H27" s="11"/>
    </row>
    <row r="28" spans="1:8">
      <c r="A28" s="1" t="s">
        <v>63</v>
      </c>
      <c r="B28" s="11" t="s">
        <v>64</v>
      </c>
      <c r="C28" s="11"/>
      <c r="D28" s="11"/>
      <c r="E28" s="11"/>
      <c r="F28" s="11"/>
      <c r="G28" s="11"/>
      <c r="H28" s="11"/>
    </row>
    <row r="29" spans="1:8">
      <c r="A29" s="1" t="s">
        <v>65</v>
      </c>
      <c r="B29" s="11" t="s">
        <v>66</v>
      </c>
      <c r="C29" s="11"/>
      <c r="D29" s="11"/>
      <c r="E29" s="11"/>
      <c r="F29" s="11"/>
      <c r="G29" s="11"/>
      <c r="H29" s="11"/>
    </row>
    <row r="31" spans="1:8" ht="19.2" customHeight="1">
      <c r="A31" s="10" t="s">
        <v>67</v>
      </c>
      <c r="B31" s="10"/>
      <c r="C31" s="10"/>
      <c r="D31" s="10"/>
      <c r="E31" s="10"/>
      <c r="F31" s="10"/>
      <c r="G31" s="10"/>
      <c r="H31" s="10"/>
    </row>
    <row r="32" spans="1:8">
      <c r="A32" s="1" t="s">
        <v>68</v>
      </c>
      <c r="B32" s="11" t="s">
        <v>69</v>
      </c>
      <c r="C32" s="11"/>
      <c r="D32" s="11"/>
      <c r="E32" s="11"/>
      <c r="F32" s="11"/>
      <c r="G32" s="11"/>
      <c r="H32" s="11"/>
    </row>
    <row r="33" spans="1:8">
      <c r="A33" s="1" t="s">
        <v>70</v>
      </c>
      <c r="B33" s="11" t="s">
        <v>71</v>
      </c>
      <c r="C33" s="11"/>
      <c r="D33" s="11"/>
      <c r="E33" s="11"/>
      <c r="F33" s="11"/>
      <c r="G33" s="11"/>
      <c r="H33" s="11"/>
    </row>
    <row r="34" spans="1:8">
      <c r="A34" s="1" t="s">
        <v>72</v>
      </c>
      <c r="B34" s="11" t="s">
        <v>73</v>
      </c>
      <c r="C34" s="11"/>
      <c r="D34" s="11"/>
      <c r="E34" s="11"/>
      <c r="F34" s="11"/>
      <c r="G34" s="11"/>
      <c r="H34" s="11"/>
    </row>
    <row r="35" spans="1:8">
      <c r="A35" s="1" t="s">
        <v>74</v>
      </c>
      <c r="B35" s="11" t="s">
        <v>75</v>
      </c>
      <c r="C35" s="11"/>
      <c r="D35" s="11"/>
      <c r="E35" s="11"/>
      <c r="F35" s="11"/>
      <c r="G35" s="11"/>
      <c r="H35" s="11"/>
    </row>
    <row r="36" spans="1:8">
      <c r="A36" s="1" t="s">
        <v>76</v>
      </c>
      <c r="B36" s="11" t="s">
        <v>77</v>
      </c>
      <c r="C36" s="11"/>
      <c r="D36" s="11"/>
      <c r="E36" s="11"/>
      <c r="F36" s="11"/>
      <c r="G36" s="11"/>
      <c r="H36" s="11"/>
    </row>
    <row r="37" spans="1:8">
      <c r="A37" s="1" t="s">
        <v>78</v>
      </c>
      <c r="B37" s="11" t="s">
        <v>79</v>
      </c>
      <c r="C37" s="11"/>
      <c r="D37" s="11"/>
      <c r="E37" s="11"/>
      <c r="F37" s="11"/>
      <c r="G37" s="11"/>
      <c r="H37" s="11"/>
    </row>
    <row r="39" spans="1:8" ht="19.2" customHeight="1">
      <c r="A39" s="10" t="s">
        <v>80</v>
      </c>
      <c r="B39" s="10"/>
      <c r="C39" s="10"/>
      <c r="D39" s="10"/>
      <c r="E39" s="10"/>
      <c r="F39" s="10"/>
      <c r="G39" s="10"/>
      <c r="H39" s="10"/>
    </row>
    <row r="40" spans="1:8">
      <c r="A40" s="3" t="s">
        <v>81</v>
      </c>
      <c r="B40" s="3" t="s">
        <v>82</v>
      </c>
      <c r="C40" s="3" t="s">
        <v>83</v>
      </c>
      <c r="D40" s="3" t="s">
        <v>84</v>
      </c>
      <c r="E40" s="3" t="s">
        <v>85</v>
      </c>
      <c r="F40" s="3" t="s">
        <v>86</v>
      </c>
      <c r="G40" s="3" t="s">
        <v>87</v>
      </c>
      <c r="H40" s="3" t="s">
        <v>88</v>
      </c>
    </row>
    <row r="41" spans="1:8" ht="22.8">
      <c r="A41" s="1" t="s">
        <v>89</v>
      </c>
      <c r="B41" s="1">
        <v>1</v>
      </c>
      <c r="C41" s="1">
        <v>18</v>
      </c>
      <c r="D41" s="5">
        <v>50</v>
      </c>
      <c r="E41" s="5">
        <f t="shared" ref="E41:E46" si="0">B41*C41*D41</f>
        <v>900</v>
      </c>
      <c r="F41" s="5">
        <v>0</v>
      </c>
      <c r="G41" s="5">
        <f t="shared" ref="G41:G47" si="1">E41+F41</f>
        <v>900</v>
      </c>
      <c r="H41" s="1" t="s">
        <v>90</v>
      </c>
    </row>
    <row r="42" spans="1:8" ht="22.8">
      <c r="A42" s="1" t="s">
        <v>91</v>
      </c>
      <c r="B42" s="1">
        <v>1</v>
      </c>
      <c r="C42" s="1">
        <v>36</v>
      </c>
      <c r="D42" s="5">
        <v>55</v>
      </c>
      <c r="E42" s="5">
        <f t="shared" si="0"/>
        <v>1980</v>
      </c>
      <c r="F42" s="5">
        <v>0</v>
      </c>
      <c r="G42" s="5">
        <f t="shared" si="1"/>
        <v>1980</v>
      </c>
      <c r="H42" s="1" t="s">
        <v>92</v>
      </c>
    </row>
    <row r="43" spans="1:8" ht="22.8">
      <c r="A43" s="1" t="s">
        <v>93</v>
      </c>
      <c r="B43" s="1">
        <v>1</v>
      </c>
      <c r="C43" s="1">
        <v>18</v>
      </c>
      <c r="D43" s="5">
        <v>45</v>
      </c>
      <c r="E43" s="5">
        <f t="shared" si="0"/>
        <v>810</v>
      </c>
      <c r="F43" s="5">
        <v>0</v>
      </c>
      <c r="G43" s="5">
        <f t="shared" si="1"/>
        <v>810</v>
      </c>
      <c r="H43" s="1" t="s">
        <v>94</v>
      </c>
    </row>
    <row r="44" spans="1:8" ht="22.8">
      <c r="A44" s="1" t="s">
        <v>95</v>
      </c>
      <c r="B44" s="1">
        <v>1</v>
      </c>
      <c r="C44" s="1">
        <v>12</v>
      </c>
      <c r="D44" s="5">
        <v>40</v>
      </c>
      <c r="E44" s="5">
        <f t="shared" si="0"/>
        <v>480</v>
      </c>
      <c r="F44" s="5">
        <v>0</v>
      </c>
      <c r="G44" s="5">
        <f t="shared" si="1"/>
        <v>480</v>
      </c>
      <c r="H44" s="1" t="s">
        <v>96</v>
      </c>
    </row>
    <row r="45" spans="1:8" ht="22.8">
      <c r="A45" s="1" t="s">
        <v>97</v>
      </c>
      <c r="B45" s="1">
        <v>1</v>
      </c>
      <c r="C45" s="1">
        <v>105</v>
      </c>
      <c r="D45" s="5">
        <v>0</v>
      </c>
      <c r="E45" s="5">
        <f t="shared" si="0"/>
        <v>0</v>
      </c>
      <c r="F45" s="5">
        <v>0</v>
      </c>
      <c r="G45" s="5">
        <f t="shared" si="1"/>
        <v>0</v>
      </c>
      <c r="H45" s="1" t="s">
        <v>98</v>
      </c>
    </row>
    <row r="46" spans="1:8" ht="22.8">
      <c r="A46" s="1" t="s">
        <v>99</v>
      </c>
      <c r="B46" s="1">
        <v>1</v>
      </c>
      <c r="C46" s="1">
        <v>0</v>
      </c>
      <c r="D46" s="5">
        <v>0</v>
      </c>
      <c r="E46" s="5">
        <f t="shared" si="0"/>
        <v>0</v>
      </c>
      <c r="F46" s="5">
        <v>0</v>
      </c>
      <c r="G46" s="5">
        <f t="shared" si="1"/>
        <v>0</v>
      </c>
      <c r="H46" s="1" t="s">
        <v>100</v>
      </c>
    </row>
    <row r="47" spans="1:8">
      <c r="A47" s="1" t="s">
        <v>101</v>
      </c>
      <c r="B47" s="1">
        <v>1</v>
      </c>
      <c r="C47" s="1">
        <v>0</v>
      </c>
      <c r="D47" s="5">
        <v>0</v>
      </c>
      <c r="E47" s="5"/>
      <c r="F47" s="5">
        <f>SUM(E41:E44)*10%</f>
        <v>417</v>
      </c>
      <c r="G47" s="5">
        <f t="shared" si="1"/>
        <v>417</v>
      </c>
      <c r="H47" s="1" t="s">
        <v>102</v>
      </c>
    </row>
    <row r="48" spans="1:8">
      <c r="D48" s="6"/>
      <c r="E48" s="6"/>
      <c r="F48" s="6"/>
      <c r="G48" s="6"/>
    </row>
    <row r="49" spans="1:8">
      <c r="A49" s="12" t="s">
        <v>103</v>
      </c>
      <c r="B49" s="12"/>
      <c r="C49" s="12"/>
      <c r="D49" s="13"/>
      <c r="E49" s="7">
        <f>SUM(E41:E47)</f>
        <v>4170</v>
      </c>
      <c r="F49" s="7">
        <f>SUM(F41:F47)</f>
        <v>417</v>
      </c>
      <c r="G49" s="7">
        <f>SUM(G41:G47)</f>
        <v>4587</v>
      </c>
      <c r="H49" s="4"/>
    </row>
    <row r="51" spans="1:8" ht="19.2" customHeight="1">
      <c r="A51" s="10" t="s">
        <v>104</v>
      </c>
      <c r="B51" s="10"/>
      <c r="C51" s="10"/>
      <c r="D51" s="10"/>
      <c r="E51" s="10"/>
      <c r="F51" s="10"/>
      <c r="G51" s="10"/>
      <c r="H51" s="10"/>
    </row>
    <row r="52" spans="1:8">
      <c r="A52" s="1" t="s">
        <v>105</v>
      </c>
      <c r="B52" s="11" t="s">
        <v>106</v>
      </c>
      <c r="C52" s="11"/>
      <c r="D52" s="11"/>
      <c r="E52" s="11"/>
      <c r="F52" s="11"/>
      <c r="G52" s="11"/>
      <c r="H52" s="11"/>
    </row>
    <row r="53" spans="1:8">
      <c r="A53" s="1" t="s">
        <v>107</v>
      </c>
      <c r="B53" s="11" t="s">
        <v>108</v>
      </c>
      <c r="C53" s="11"/>
      <c r="D53" s="11"/>
      <c r="E53" s="11"/>
      <c r="F53" s="11"/>
      <c r="G53" s="11"/>
      <c r="H53" s="11"/>
    </row>
    <row r="54" spans="1:8">
      <c r="A54" s="1" t="s">
        <v>109</v>
      </c>
      <c r="B54" s="11" t="s">
        <v>110</v>
      </c>
      <c r="C54" s="11"/>
      <c r="D54" s="11"/>
      <c r="E54" s="11"/>
      <c r="F54" s="11"/>
      <c r="G54" s="11"/>
      <c r="H54" s="11"/>
    </row>
    <row r="55" spans="1:8">
      <c r="A55" s="1" t="s">
        <v>111</v>
      </c>
      <c r="B55" s="11" t="s">
        <v>112</v>
      </c>
      <c r="C55" s="11"/>
      <c r="D55" s="11"/>
      <c r="E55" s="11"/>
      <c r="F55" s="11"/>
      <c r="G55" s="11"/>
      <c r="H55" s="11"/>
    </row>
    <row r="56" spans="1:8">
      <c r="A56" s="1" t="s">
        <v>113</v>
      </c>
      <c r="B56" s="11" t="s">
        <v>114</v>
      </c>
      <c r="C56" s="11"/>
      <c r="D56" s="11"/>
      <c r="E56" s="11"/>
      <c r="F56" s="11"/>
      <c r="G56" s="11"/>
      <c r="H56" s="11"/>
    </row>
    <row r="57" spans="1:8">
      <c r="A57" s="1" t="s">
        <v>115</v>
      </c>
      <c r="B57" s="11" t="s">
        <v>116</v>
      </c>
      <c r="C57" s="11"/>
      <c r="D57" s="11"/>
      <c r="E57" s="11"/>
      <c r="F57" s="11"/>
      <c r="G57" s="11"/>
      <c r="H57" s="11"/>
    </row>
    <row r="58" spans="1:8">
      <c r="A58" s="1" t="s">
        <v>117</v>
      </c>
      <c r="B58" s="11" t="s">
        <v>118</v>
      </c>
      <c r="C58" s="11"/>
      <c r="D58" s="11"/>
      <c r="E58" s="11"/>
      <c r="F58" s="11"/>
      <c r="G58" s="11"/>
      <c r="H58" s="11"/>
    </row>
    <row r="59" spans="1:8">
      <c r="A59" s="1" t="s">
        <v>119</v>
      </c>
      <c r="B59" s="11" t="s">
        <v>120</v>
      </c>
      <c r="C59" s="11"/>
      <c r="D59" s="11"/>
      <c r="E59" s="11"/>
      <c r="F59" s="11"/>
      <c r="G59" s="11"/>
      <c r="H59" s="11"/>
    </row>
    <row r="61" spans="1:8" ht="19.2" customHeight="1">
      <c r="A61" s="10" t="s">
        <v>121</v>
      </c>
      <c r="B61" s="10"/>
      <c r="C61" s="10"/>
      <c r="D61" s="10"/>
      <c r="E61" s="10"/>
      <c r="F61" s="10"/>
      <c r="G61" s="10"/>
      <c r="H61" s="10"/>
    </row>
    <row r="62" spans="1:8">
      <c r="A62" s="1" t="s">
        <v>27</v>
      </c>
      <c r="B62" s="1"/>
      <c r="C62" s="1" t="s">
        <v>122</v>
      </c>
      <c r="D62" s="1" t="s">
        <v>95</v>
      </c>
      <c r="E62" s="1" t="s">
        <v>16</v>
      </c>
      <c r="F62" s="1"/>
      <c r="G62" s="1" t="s">
        <v>123</v>
      </c>
      <c r="H62" s="1"/>
    </row>
    <row r="63" spans="1:8">
      <c r="A63" s="1" t="s">
        <v>124</v>
      </c>
      <c r="B63" s="1"/>
      <c r="C63" s="1" t="s">
        <v>122</v>
      </c>
      <c r="D63" s="1" t="s">
        <v>91</v>
      </c>
      <c r="E63" s="1" t="s">
        <v>16</v>
      </c>
      <c r="F63" s="1"/>
      <c r="G63" s="1" t="s">
        <v>123</v>
      </c>
      <c r="H63" s="1"/>
    </row>
    <row r="64" spans="1:8">
      <c r="A64" s="1" t="s">
        <v>125</v>
      </c>
      <c r="B64" s="1"/>
      <c r="C64" s="1" t="s">
        <v>122</v>
      </c>
      <c r="D64" s="1" t="s">
        <v>89</v>
      </c>
      <c r="E64" s="1" t="s">
        <v>16</v>
      </c>
      <c r="F64" s="1"/>
      <c r="G64" s="1" t="s">
        <v>123</v>
      </c>
      <c r="H64" s="1"/>
    </row>
    <row r="65" spans="1:8">
      <c r="A65" s="1" t="s">
        <v>126</v>
      </c>
      <c r="B65" s="1"/>
      <c r="C65" s="1" t="s">
        <v>122</v>
      </c>
      <c r="D65" s="1" t="s">
        <v>127</v>
      </c>
      <c r="E65" s="1" t="s">
        <v>16</v>
      </c>
      <c r="F65" s="1"/>
      <c r="G65" s="1" t="s">
        <v>123</v>
      </c>
      <c r="H65" s="1"/>
    </row>
  </sheetData>
  <mergeCells count="41">
    <mergeCell ref="A61:H61"/>
    <mergeCell ref="B55:H55"/>
    <mergeCell ref="B56:H56"/>
    <mergeCell ref="B57:H57"/>
    <mergeCell ref="B58:H58"/>
    <mergeCell ref="B59:H59"/>
    <mergeCell ref="A49:D49"/>
    <mergeCell ref="A51:H51"/>
    <mergeCell ref="B52:H52"/>
    <mergeCell ref="B53:H53"/>
    <mergeCell ref="B54:H54"/>
    <mergeCell ref="B34:H34"/>
    <mergeCell ref="B35:H35"/>
    <mergeCell ref="B36:H36"/>
    <mergeCell ref="B37:H37"/>
    <mergeCell ref="A39:H39"/>
    <mergeCell ref="B28:H28"/>
    <mergeCell ref="B29:H29"/>
    <mergeCell ref="A31:H31"/>
    <mergeCell ref="B32:H32"/>
    <mergeCell ref="B33:H33"/>
    <mergeCell ref="B23:H23"/>
    <mergeCell ref="B24:H24"/>
    <mergeCell ref="B25:H25"/>
    <mergeCell ref="B26:H26"/>
    <mergeCell ref="B27:H27"/>
    <mergeCell ref="B17:H17"/>
    <mergeCell ref="B18:H18"/>
    <mergeCell ref="B19:H19"/>
    <mergeCell ref="A21:H21"/>
    <mergeCell ref="B22:H22"/>
    <mergeCell ref="B12:H12"/>
    <mergeCell ref="B13:H13"/>
    <mergeCell ref="B14:H14"/>
    <mergeCell ref="B15:H15"/>
    <mergeCell ref="B16:H16"/>
    <mergeCell ref="A1:H1"/>
    <mergeCell ref="A2:H2"/>
    <mergeCell ref="A4:H4"/>
    <mergeCell ref="B9:H9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Nadeem Siddiqi</cp:lastModifiedBy>
  <dcterms:modified xsi:type="dcterms:W3CDTF">2026-07-22T06:06:22Z</dcterms:modified>
</cp:coreProperties>
</file>