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81ee258ee45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MP Overview" sheetId="1" r:id="Rde808c53857b4076"/>
    <x:sheet xmlns:r="http://schemas.openxmlformats.org/officeDocument/2006/relationships" name="Deliverables &amp; Cost" sheetId="2" r:id="Ra1004fd849874a88"/>
    <x:sheet xmlns:r="http://schemas.openxmlformats.org/officeDocument/2006/relationships" name="Personnel" sheetId="3" r:id="R884b0723b2e34e76"/>
    <x:sheet xmlns:r="http://schemas.openxmlformats.org/officeDocument/2006/relationships" name="RACI" sheetId="4" r:id="Re581ad7c3bcc4680"/>
    <x:sheet xmlns:r="http://schemas.openxmlformats.org/officeDocument/2006/relationships" name="Risk Register" sheetId="5" r:id="R05649a2824f74bc7"/>
    <x:sheet xmlns:r="http://schemas.openxmlformats.org/officeDocument/2006/relationships" name="Software &amp; Tools" sheetId="6" r:id="Rfd2c3d04428f419b"/>
    <x:sheet xmlns:r="http://schemas.openxmlformats.org/officeDocument/2006/relationships" name="Business Learning Guide" sheetId="7" r:id="Rf84ebfa12bbb43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2"/>
      <x:color rgb="FFFFFFFF"/>
      <x:name val="Carlito"/>
    </x:font>
    <x:font>
      <x:sz val="9"/>
      <x:color rgb="FF1F1F1F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200" fontId="4" fillId="0" borderId="0" xfId="0" applyNumberFormat="1" applyFont="1" applyFill="1" applyBorder="1" applyAlignment="1">
      <x:alignment vertical="top" wrapText="1"/>
    </x:xf>
    <x:xf numFmtId="200" fontId="6" fillId="2" borderId="0" xfId="0" applyNumberFormat="1" applyFont="1" applyFill="1" applyBorder="1"/>
    <x:xf numFmtId="200" fontId="4" fillId="0" borderId="1" xfId="0" applyNumberFormat="1" applyFont="1" applyFill="1" applyBorder="1" applyAlignment="1">
      <x:alignment vertical="top" wrapText="1"/>
    </x:xf>
    <x:xf numFmtId="200" fontId="6" fillId="2" borderId="1" xfId="0" applyNumberFormat="1" applyFont="1" applyFill="1" applyBorder="1"/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53e407530045fd" /><Relationship Type="http://schemas.openxmlformats.org/officeDocument/2006/relationships/theme" Target="/xl/theme/theme1.xml" Id="R01d9f505516546df" /><Relationship Type="http://schemas.openxmlformats.org/officeDocument/2006/relationships/sharedStrings" Target="/xl/sharedStrings.xml" Id="R5eb1e9dcf02e47b2" /><Relationship Type="http://schemas.openxmlformats.org/officeDocument/2006/relationships/worksheet" Target="/xl/worksheets/sheet1.xml" Id="Rde808c53857b4076" /><Relationship Type="http://schemas.openxmlformats.org/officeDocument/2006/relationships/worksheet" Target="/xl/worksheets/sheet2.xml" Id="Ra1004fd849874a88" /><Relationship Type="http://schemas.openxmlformats.org/officeDocument/2006/relationships/worksheet" Target="/xl/worksheets/sheet3.xml" Id="R884b0723b2e34e76" /><Relationship Type="http://schemas.openxmlformats.org/officeDocument/2006/relationships/worksheet" Target="/xl/worksheets/sheet4.xml" Id="Re581ad7c3bcc4680" /><Relationship Type="http://schemas.openxmlformats.org/officeDocument/2006/relationships/worksheet" Target="/xl/worksheets/sheet5.xml" Id="R05649a2824f74bc7" /><Relationship Type="http://schemas.openxmlformats.org/officeDocument/2006/relationships/worksheet" Target="/xl/worksheets/sheet6.xml" Id="Rfd2c3d04428f419b" /><Relationship Type="http://schemas.openxmlformats.org/officeDocument/2006/relationships/worksheet" Target="/xl/worksheets/sheet7.xml" Id="Rf84ebfa12bbb43a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bdbef4c353c4d5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7f62c25a7e748e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Planned Cost by Role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'Deliverables &amp; Cost'!$A$22:$A$26</c:f>
              <c:strCache>
                <c:ptCount val="0"/>
              </c:strCache>
            </c:strRef>
          </c:cat>
          <c:val>
            <c:numRef>
              <c:f>'Deliverables &amp; Cost'!$B$22:$B$26</c:f>
              <c:numCache>
                <c:formatCode>$#,##0.00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'Deliverables &amp; Cost'!$A$22:$A$26</c:f>
              <c:strCache>
                <c:ptCount val="0"/>
              </c:strCache>
            </c:strRef>
          </c:cat>
          <c:val>
            <c:numRef>
              <c:f>'Deliverables &amp; Cost'!$C$22:$C$26</c:f>
              <c:numCache>
                <c:formatCode>$#,##0.00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cat>
            <c:strRef>
              <c:f>'Deliverables &amp; Cost'!$A$22:$A$26</c:f>
              <c:strCache>
                <c:ptCount val="0"/>
              </c:strCache>
            </c:strRef>
          </c:cat>
          <c:val>
            <c:numRef>
              <c:f>'Deliverables &amp; Cost'!$D$22:$D$26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Risk Scores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Risk Description</c:v>
          </c:tx>
          <c:cat>
            <c:strRef>
              <c:f>'Risk Register'!$A$5:$A$14</c:f>
              <c:strCache>
                <c:ptCount val="0"/>
              </c:strCache>
            </c:strRef>
          </c:cat>
          <c:val>
            <c:numRef>
              <c:f>'Risk Register'!$B$5:$B$14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Probability (1-5)</c:v>
          </c:tx>
          <c:cat>
            <c:strRef>
              <c:f>'Risk Register'!$A$5:$A$14</c:f>
              <c:strCache>
                <c:ptCount val="0"/>
              </c:strCache>
            </c:strRef>
          </c:cat>
          <c:val>
            <c:numRef>
              <c:f>'Risk Register'!$C$5:$C$14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Impact (1-5)</c:v>
          </c:tx>
          <c:cat>
            <c:strRef>
              <c:f>'Risk Register'!$A$5:$A$14</c:f>
              <c:strCache>
                <c:ptCount val="0"/>
              </c:strCache>
            </c:strRef>
          </c:cat>
          <c:val>
            <c:numRef>
              <c:f>'Risk Register'!$D$5:$D$14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Score</c:v>
          </c:tx>
          <c:cat>
            <c:strRef>
              <c:f>'Risk Register'!$A$5:$A$14</c:f>
              <c:strCache>
                <c:ptCount val="0"/>
              </c:strCache>
            </c:strRef>
          </c:cat>
          <c:val>
            <c:numRef>
              <c:f>'Risk Register'!$E$5:$E$14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21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dbef4c353c4d5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12</xdr:col>
      <xdr:colOff>0</xdr:colOff>
      <xdr:row>3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f62c25a7e748e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261d30c038e40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fd6830facee345e2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0" hidden="0" customWidth="1"/>
    <x:col min="3" max="3" width="16" hidden="0" customWidth="1"/>
    <x:col min="4" max="4" width="22" hidden="0" customWidth="1"/>
    <x:col min="5" max="5" width="30" hidden="0" customWidth="1"/>
    <x:col min="6" max="6" width="30" hidden="0" customWidth="1"/>
    <x:col min="7" max="7" width="18" hidden="0" customWidth="1"/>
    <x:col min="8" max="8" width="18" hidden="0" customWidth="1"/>
  </x:cols>
  <x:sheetData>
    <x:row r="1" ht="30" customHeight="1">
      <x:c r="A1" s="5" t="str">
        <x:v>PROJECT MANAGEMENT PLAN (PMP)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NIT Bank Linux Process Operations Lab – Business governance, organization, controls and delivery model.</x:v>
      </x:c>
      <x:c r="B2" s="12"/>
      <x:c r="C2" s="12"/>
      <x:c r="D2" s="12"/>
      <x:c r="E2" s="12"/>
      <x:c r="F2" s="12"/>
      <x:c r="G2" s="12"/>
      <x:c r="H2" s="12"/>
    </x:row>
    <x:row r="4" ht="24" customHeight="1">
      <x:c r="A4" s="18" t="str">
        <x:v>1. Project Purpose</x:v>
      </x:c>
      <x:c r="B4" s="18"/>
      <x:c r="C4" s="18"/>
      <x:c r="D4" s="18"/>
      <x:c r="E4" s="18"/>
      <x:c r="F4" s="18"/>
      <x:c r="G4" s="18"/>
      <x:c r="H4" s="18"/>
    </x:row>
    <x:row r="5">
      <x:c r="A5" s="24" t="str">
        <x:v>Business Need</x:v>
      </x:c>
      <x:c r="B5" s="24" t="str">
        <x:v>NIT Bank requires junior Linux operations staff to understand how process incidents are controlled, diagnosed, recovered and documented.</x:v>
      </x:c>
      <x:c r="C5" s="24"/>
      <x:c r="D5" s="24"/>
      <x:c r="E5" s="24"/>
      <x:c r="F5" s="24"/>
      <x:c r="G5" s="24"/>
      <x:c r="H5" s="24"/>
    </x:row>
    <x:row r="6">
      <x:c r="A6" s="24" t="str">
        <x:v>Project Objective</x:v>
      </x:c>
      <x:c r="B6" s="24" t="str">
        <x:v>Deliver a repeatable classroom project that combines Linux process management with scope, cost, schedule, risk, change control, evidence, acceptance and handover.</x:v>
      </x:c>
      <x:c r="C6" s="24"/>
      <x:c r="D6" s="24"/>
      <x:c r="E6" s="24"/>
      <x:c r="F6" s="24"/>
      <x:c r="G6" s="24"/>
      <x:c r="H6" s="24"/>
    </x:row>
    <x:row r="7">
      <x:c r="A7" s="24" t="str">
        <x:v>Success Definition</x:v>
      </x:c>
      <x:c r="B7" s="24" t="str">
        <x:v>Students complete the technical lab, pass validation, resolve the simulated incident, submit business documents and obtain instructor acceptance.</x:v>
      </x:c>
      <x:c r="C7" s="24"/>
      <x:c r="D7" s="24"/>
      <x:c r="E7" s="24"/>
      <x:c r="F7" s="24"/>
      <x:c r="G7" s="24"/>
      <x:c r="H7" s="24"/>
    </x:row>
    <x:row r="9" ht="24" customHeight="1">
      <x:c r="A9" s="18" t="str">
        <x:v>2. Governance and Project Controls</x:v>
      </x:c>
      <x:c r="B9" s="18"/>
      <x:c r="C9" s="18"/>
      <x:c r="D9" s="18"/>
      <x:c r="E9" s="18"/>
      <x:c r="F9" s="18"/>
      <x:c r="G9" s="18"/>
      <x:c r="H9" s="18"/>
    </x:row>
    <x:row r="10">
      <x:c r="A10" s="31" t="str">
        <x:v>Control Area</x:v>
      </x:c>
      <x:c r="B10" s="31" t="str">
        <x:v>Primary Document</x:v>
      </x:c>
      <x:c r="C10" s="31" t="str">
        <x:v>Owner</x:v>
      </x:c>
      <x:c r="D10" s="31" t="str">
        <x:v>Review Frequency</x:v>
      </x:c>
      <x:c r="E10" s="31" t="str">
        <x:v>Approval / Output</x:v>
      </x:c>
      <x:c r="F10" s="31" t="str">
        <x:v>Business Purpose</x:v>
      </x:c>
      <x:c r="G10" s="31" t="str">
        <x:v>Status</x:v>
      </x:c>
      <x:c r="H10" s="31" t="str">
        <x:v>Comments</x:v>
      </x:c>
    </x:row>
    <x:row r="11">
      <x:c r="A11" s="24" t="str">
        <x:v>Scope</x:v>
      </x:c>
      <x:c r="B11" s="24" t="str">
        <x:v>CTR / FDS</x:v>
      </x:c>
      <x:c r="C11" s="24" t="str">
        <x:v>Project Manager</x:v>
      </x:c>
      <x:c r="D11" s="24" t="str">
        <x:v>At start and on change</x:v>
      </x:c>
      <x:c r="E11" s="24" t="str">
        <x:v>Approved scope</x:v>
      </x:c>
      <x:c r="F11" s="24" t="str">
        <x:v>Prevents uncontrolled technical additions</x:v>
      </x:c>
      <x:c r="G11" s="24" t="str">
        <x:v>Planned</x:v>
      </x:c>
      <x:c r="H11" s="24"/>
    </x:row>
    <x:row r="12">
      <x:c r="A12" s="24" t="str">
        <x:v>Schedule</x:v>
      </x:c>
      <x:c r="B12" s="24" t="str">
        <x:v>Master Schedule</x:v>
      </x:c>
      <x:c r="C12" s="24" t="str">
        <x:v>Project Manager</x:v>
      </x:c>
      <x:c r="D12" s="24" t="str">
        <x:v>Weekly</x:v>
      </x:c>
      <x:c r="E12" s="24" t="str">
        <x:v>Updated baseline / forecast</x:v>
      </x:c>
      <x:c r="F12" s="24" t="str">
        <x:v>Makes delivery dates visible</x:v>
      </x:c>
      <x:c r="G12" s="24" t="str">
        <x:v>Planned</x:v>
      </x:c>
      <x:c r="H12" s="24"/>
    </x:row>
    <x:row r="13">
      <x:c r="A13" s="24" t="str">
        <x:v>Cost &amp; Resources</x:v>
      </x:c>
      <x:c r="B13" s="24" t="str">
        <x:v>CTR / Cost Model</x:v>
      </x:c>
      <x:c r="C13" s="24" t="str">
        <x:v>Project Manager</x:v>
      </x:c>
      <x:c r="D13" s="24" t="str">
        <x:v>Weekly</x:v>
      </x:c>
      <x:c r="E13" s="24" t="str">
        <x:v>Forecast at completion</x:v>
      </x:c>
      <x:c r="F13" s="24" t="str">
        <x:v>Shows business effort and affordability</x:v>
      </x:c>
      <x:c r="G13" s="24" t="str">
        <x:v>Planned</x:v>
      </x:c>
      <x:c r="H13" s="24"/>
    </x:row>
    <x:row r="14">
      <x:c r="A14" s="24" t="str">
        <x:v>Change</x:v>
      </x:c>
      <x:c r="B14" s="24" t="str">
        <x:v>NCD</x:v>
      </x:c>
      <x:c r="C14" s="24" t="str">
        <x:v>Change Manager / Instructor</x:v>
      </x:c>
      <x:c r="D14" s="24" t="str">
        <x:v>Before implementation</x:v>
      </x:c>
      <x:c r="E14" s="24" t="str">
        <x:v>Go / No-Go</x:v>
      </x:c>
      <x:c r="F14" s="24" t="str">
        <x:v>Protects the lab and creates accountability</x:v>
      </x:c>
      <x:c r="G14" s="24" t="str">
        <x:v>Planned</x:v>
      </x:c>
      <x:c r="H14" s="24"/>
    </x:row>
    <x:row r="15">
      <x:c r="A15" s="24" t="str">
        <x:v>Interfaces / Queries</x:v>
      </x:c>
      <x:c r="B15" s="24" t="str">
        <x:v>ITQ Register</x:v>
      </x:c>
      <x:c r="C15" s="24" t="str">
        <x:v>Business Analyst</x:v>
      </x:c>
      <x:c r="D15" s="24" t="str">
        <x:v>Twice weekly</x:v>
      </x:c>
      <x:c r="E15" s="24" t="str">
        <x:v>Closed decisions</x:v>
      </x:c>
      <x:c r="F15" s="24" t="str">
        <x:v>Prevents assumptions from becoming defects</x:v>
      </x:c>
      <x:c r="G15" s="24" t="str">
        <x:v>Planned</x:v>
      </x:c>
      <x:c r="H15" s="24"/>
    </x:row>
    <x:row r="16">
      <x:c r="A16" s="24" t="str">
        <x:v>Risk</x:v>
      </x:c>
      <x:c r="B16" s="24" t="str">
        <x:v>Risk Register</x:v>
      </x:c>
      <x:c r="C16" s="24" t="str">
        <x:v>Project Manager</x:v>
      </x:c>
      <x:c r="D16" s="24" t="str">
        <x:v>Weekly</x:v>
      </x:c>
      <x:c r="E16" s="24" t="str">
        <x:v>Mitigation actions</x:v>
      </x:c>
      <x:c r="F16" s="24" t="str">
        <x:v>Reduces technical and business surprises</x:v>
      </x:c>
      <x:c r="G16" s="24" t="str">
        <x:v>Planned</x:v>
      </x:c>
      <x:c r="H16" s="24"/>
    </x:row>
    <x:row r="17">
      <x:c r="A17" s="24" t="str">
        <x:v>Quality</x:v>
      </x:c>
      <x:c r="B17" s="24" t="str">
        <x:v>FDS / Validation Evidence</x:v>
      </x:c>
      <x:c r="C17" s="24" t="str">
        <x:v>Linux Lead</x:v>
      </x:c>
      <x:c r="D17" s="24" t="str">
        <x:v>At design and testing</x:v>
      </x:c>
      <x:c r="E17" s="24" t="str">
        <x:v>Technical acceptance</x:v>
      </x:c>
      <x:c r="F17" s="24" t="str">
        <x:v>Defines measurable success</x:v>
      </x:c>
      <x:c r="G17" s="24" t="str">
        <x:v>Planned</x:v>
      </x:c>
      <x:c r="H17" s="24"/>
    </x:row>
    <x:row r="18">
      <x:c r="A18" s="24" t="str">
        <x:v>Documents</x:v>
      </x:c>
      <x:c r="B18" s="24" t="str">
        <x:v>Master Document List</x:v>
      </x:c>
      <x:c r="C18" s="24" t="str">
        <x:v>Document Controller</x:v>
      </x:c>
      <x:c r="D18" s="24" t="str">
        <x:v>Continuous</x:v>
      </x:c>
      <x:c r="E18" s="24" t="str">
        <x:v>Controlled revisions</x:v>
      </x:c>
      <x:c r="F18" s="24" t="str">
        <x:v>Ensures traceability and professional handover</x:v>
      </x:c>
      <x:c r="G18" s="24" t="str">
        <x:v>Planned</x:v>
      </x:c>
      <x:c r="H18" s="24"/>
    </x:row>
    <x:row r="19">
      <x:c r="A19" s="24" t="str">
        <x:v>Acceptance</x:v>
      </x:c>
      <x:c r="B19" s="24" t="str">
        <x:v>Sign-off Register</x:v>
      </x:c>
      <x:c r="C19" s="24" t="str">
        <x:v>Business Owner / Instructor</x:v>
      </x:c>
      <x:c r="D19" s="24" t="str">
        <x:v>At project end</x:v>
      </x:c>
      <x:c r="E19" s="24" t="str">
        <x:v>Project closure</x:v>
      </x:c>
      <x:c r="F19" s="24" t="str">
        <x:v>Confirms value was delivered</x:v>
      </x:c>
      <x:c r="G19" s="24" t="str">
        <x:v>Planned</x:v>
      </x:c>
      <x:c r="H19" s="24"/>
    </x:row>
    <x:row r="21" ht="24" customHeight="1">
      <x:c r="A21" s="18" t="str">
        <x:v>3. Communication Plan</x:v>
      </x:c>
      <x:c r="B21" s="18"/>
      <x:c r="C21" s="18"/>
      <x:c r="D21" s="18"/>
      <x:c r="E21" s="18"/>
      <x:c r="F21" s="18"/>
      <x:c r="G21" s="18"/>
      <x:c r="H21" s="18"/>
    </x:row>
    <x:row r="22">
      <x:c r="A22" s="31" t="str">
        <x:v>Meeting / Report</x:v>
      </x:c>
      <x:c r="B22" s="31" t="str">
        <x:v>Audience</x:v>
      </x:c>
      <x:c r="C22" s="31" t="str">
        <x:v>Frequency</x:v>
      </x:c>
      <x:c r="D22" s="31" t="str">
        <x:v>Owner</x:v>
      </x:c>
      <x:c r="E22" s="31" t="str">
        <x:v>Inputs</x:v>
      </x:c>
      <x:c r="F22" s="31" t="str">
        <x:v>Outputs</x:v>
      </x:c>
      <x:c r="G22" s="31" t="str">
        <x:v>Channel</x:v>
      </x:c>
      <x:c r="H22" s="31" t="str">
        <x:v>Record</x:v>
      </x:c>
    </x:row>
    <x:row r="23">
      <x:c r="A23" s="24" t="str">
        <x:v>Project Kickoff</x:v>
      </x:c>
      <x:c r="B23" s="24" t="str">
        <x:v>Sponsor, PM, Technical Lead, Lab Admin, Students</x:v>
      </x:c>
      <x:c r="C23" s="24" t="str">
        <x:v>Once</x:v>
      </x:c>
      <x:c r="D23" s="24" t="str">
        <x:v>Project Manager</x:v>
      </x:c>
      <x:c r="E23" s="24" t="str">
        <x:v>CTR, PMP, Schedule</x:v>
      </x:c>
      <x:c r="F23" s="24" t="str">
        <x:v>Approved roles and objectives</x:v>
      </x:c>
      <x:c r="G23" s="24" t="str">
        <x:v>Class / Video Call</x:v>
      </x:c>
      <x:c r="H23" s="24" t="str">
        <x:v>Minutes</x:v>
      </x:c>
    </x:row>
    <x:row r="24">
      <x:c r="A24" s="24" t="str">
        <x:v>Daily Lab Brief</x:v>
      </x:c>
      <x:c r="B24" s="24" t="str">
        <x:v>Instructor and Students</x:v>
      </x:c>
      <x:c r="C24" s="24" t="str">
        <x:v>Daily</x:v>
      </x:c>
      <x:c r="D24" s="24" t="str">
        <x:v>Instructor</x:v>
      </x:c>
      <x:c r="E24" s="24" t="str">
        <x:v>Runbook, open issues</x:v>
      </x:c>
      <x:c r="F24" s="24" t="str">
        <x:v>Daily priorities and safety reminders</x:v>
      </x:c>
      <x:c r="G24" s="24" t="str">
        <x:v>Classroom</x:v>
      </x:c>
      <x:c r="H24" s="24" t="str">
        <x:v>Attendance / notes</x:v>
      </x:c>
    </x:row>
    <x:row r="25">
      <x:c r="A25" s="24" t="str">
        <x:v>Weekly Status Review</x:v>
      </x:c>
      <x:c r="B25" s="24" t="str">
        <x:v>Sponsor, PM, Technical Lead</x:v>
      </x:c>
      <x:c r="C25" s="24" t="str">
        <x:v>Weekly</x:v>
      </x:c>
      <x:c r="D25" s="24" t="str">
        <x:v>Project Manager</x:v>
      </x:c>
      <x:c r="E25" s="24" t="str">
        <x:v>Schedule, cost, risks, ITQs</x:v>
      </x:c>
      <x:c r="F25" s="24" t="str">
        <x:v>RAG status and decisions</x:v>
      </x:c>
      <x:c r="G25" s="24" t="str">
        <x:v>Meeting</x:v>
      </x:c>
      <x:c r="H25" s="24" t="str">
        <x:v>Status report</x:v>
      </x:c>
    </x:row>
    <x:row r="26">
      <x:c r="A26" s="24" t="str">
        <x:v>Go / No-Go Review</x:v>
      </x:c>
      <x:c r="B26" s="24" t="str">
        <x:v>PM, Linux Lead, Lab Admin, Students</x:v>
      </x:c>
      <x:c r="C26" s="24" t="str">
        <x:v>Before build</x:v>
      </x:c>
      <x:c r="D26" s="24" t="str">
        <x:v>Project Manager</x:v>
      </x:c>
      <x:c r="E26" s="24" t="str">
        <x:v>NCD prerequisites</x:v>
      </x:c>
      <x:c r="F26" s="24" t="str">
        <x:v>GO / NO-GO decision</x:v>
      </x:c>
      <x:c r="G26" s="24" t="str">
        <x:v>Change review</x:v>
      </x:c>
      <x:c r="H26" s="24" t="str">
        <x:v>Approval log</x:v>
      </x:c>
    </x:row>
    <x:row r="27">
      <x:c r="A27" s="24" t="str">
        <x:v>Incident Review</x:v>
      </x:c>
      <x:c r="B27" s="24" t="str">
        <x:v>Instructor and Students</x:v>
      </x:c>
      <x:c r="C27" s="24" t="str">
        <x:v>During simulation</x:v>
      </x:c>
      <x:c r="D27" s="24" t="str">
        <x:v>Linux Lead</x:v>
      </x:c>
      <x:c r="E27" s="24" t="str">
        <x:v>Monitoring evidence</x:v>
      </x:c>
      <x:c r="F27" s="24" t="str">
        <x:v>Root cause and recovery decision</x:v>
      </x:c>
      <x:c r="G27" s="24" t="str">
        <x:v>Classroom</x:v>
      </x:c>
      <x:c r="H27" s="24" t="str">
        <x:v>Incident log</x:v>
      </x:c>
    </x:row>
    <x:row r="28">
      <x:c r="A28" s="24" t="str">
        <x:v>Acceptance Review</x:v>
      </x:c>
      <x:c r="B28" s="24" t="str">
        <x:v>Sponsor, PM, Instructor, Students</x:v>
      </x:c>
      <x:c r="C28" s="24" t="str">
        <x:v>Project end</x:v>
      </x:c>
      <x:c r="D28" s="24" t="str">
        <x:v>Project Manager</x:v>
      </x:c>
      <x:c r="E28" s="24" t="str">
        <x:v>Deliverables and evidence</x:v>
      </x:c>
      <x:c r="F28" s="24" t="str">
        <x:v>Acceptance / punch list</x:v>
      </x:c>
      <x:c r="G28" s="24" t="str">
        <x:v>Presentation</x:v>
      </x:c>
      <x:c r="H28" s="24" t="str">
        <x:v>Sign-off</x:v>
      </x:c>
    </x:row>
  </x:sheetData>
  <x:mergeCells>
    <x:mergeCell ref="A1:H1"/>
    <x:mergeCell ref="A2:H2"/>
    <x:mergeCell ref="A4:H4"/>
    <x:mergeCell ref="B5:H5"/>
    <x:mergeCell ref="B6:H6"/>
    <x:mergeCell ref="B7:H7"/>
    <x:mergeCell ref="A9:H9"/>
    <x:mergeCell ref="A21:H21"/>
  </x:mergeCells>
  <x:conditionalFormatting sqref="G11:G19">
    <x:cfRule type="expression" dxfId="0" priority="1">
      <x:formula>G11="Complete"</x:formula>
    </x:cfRule>
    <x:cfRule type="expression" dxfId="1" priority="2">
      <x:formula>G11="In Progress"</x:formula>
    </x:cfRule>
    <x:cfRule type="expression" dxfId="2" priority="3">
      <x:formula>G11="Failed"</x:formula>
    </x:cfRule>
    <x:cfRule type="expression" dxfId="3" priority="4">
      <x:formula>G11="Approved"</x:formula>
    </x:cfRule>
    <x:cfRule type="expression" dxfId="4" priority="5">
      <x:formula>G11="Pending"</x:formula>
    </x:cfRule>
  </x:conditionalFormatting>
  <x:dataValidations count="1">
    <x:dataValidation type="list" sqref="G11:G19">
      <x:formula1>"Planned,Active,Complete,At Risk,On Hold"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6" hidden="0" customWidth="1"/>
    <x:col min="7" max="7" width="14" hidden="0" customWidth="1"/>
    <x:col min="8" max="8" width="20" hidden="0" customWidth="1"/>
  </x:cols>
  <x:sheetData>
    <x:row r="1" ht="30" customHeight="1">
      <x:c r="A1" s="5" t="str">
        <x:v>Deliverables, Planned Effort and Cost Model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A training estimate showing how business documents and technical work consume resources.</x:v>
      </x:c>
      <x:c r="B2" s="12"/>
      <x:c r="C2" s="12"/>
      <x:c r="D2" s="12"/>
      <x:c r="E2" s="12"/>
      <x:c r="F2" s="12"/>
      <x:c r="G2" s="12"/>
      <x:c r="H2" s="12"/>
    </x:row>
    <x:row r="4">
      <x:c r="A4" s="31" t="str">
        <x:v>Deliverable / Work Package</x:v>
      </x:c>
      <x:c r="B4" s="31" t="str">
        <x:v>Project Manager Hrs</x:v>
      </x:c>
      <x:c r="C4" s="31" t="str">
        <x:v>Linux Lead Hrs</x:v>
      </x:c>
      <x:c r="D4" s="31" t="str">
        <x:v>Lab Admin Hrs</x:v>
      </x:c>
      <x:c r="E4" s="31" t="str">
        <x:v>Document Control Hrs</x:v>
      </x:c>
      <x:c r="F4" s="31" t="str">
        <x:v>Student Hrs</x:v>
      </x:c>
      <x:c r="G4" s="31" t="str">
        <x:v>Total Hrs</x:v>
      </x:c>
      <x:c r="H4" s="31" t="str">
        <x:v>Estimated Cost (USD)</x:v>
      </x:c>
    </x:row>
    <x:row r="5">
      <x:c r="A5" s="24" t="str">
        <x:v>Project Management Plan (PMP)</x:v>
      </x:c>
      <x:c r="B5" s="24" t="n">
        <x:v>6</x:v>
      </x:c>
      <x:c r="C5" s="24" t="n">
        <x:v>1</x:v>
      </x:c>
      <x:c r="D5" s="24" t="n">
        <x:v>0</x:v>
      </x:c>
      <x:c r="E5" s="24" t="n">
        <x:v>4</x:v>
      </x:c>
      <x:c r="F5" s="24" t="n">
        <x:v>0</x:v>
      </x:c>
      <x:c r="G5" s="24" t="n">
        <x:f>SUM(B5:F5)</x:f>
        <x:v>11</x:v>
      </x:c>
      <x:c r="H5" s="38" t="n">
        <x:f>B5*50+C5*55+D5*45+E5*40+F5*0</x:f>
        <x:v>515</x:v>
      </x:c>
    </x:row>
    <x:row r="6">
      <x:c r="A6" s="24" t="str">
        <x:v>CTR – Cost, Time and Resource</x:v>
      </x:c>
      <x:c r="B6" s="24" t="n">
        <x:v>4</x:v>
      </x:c>
      <x:c r="C6" s="24" t="n">
        <x:v>1</x:v>
      </x:c>
      <x:c r="D6" s="24" t="n">
        <x:v>0</x:v>
      </x:c>
      <x:c r="E6" s="24" t="n">
        <x:v>3</x:v>
      </x:c>
      <x:c r="F6" s="24" t="n">
        <x:v>0</x:v>
      </x:c>
      <x:c r="G6" s="24" t="n">
        <x:f>SUM(B6:F6)</x:f>
        <x:v>8</x:v>
      </x:c>
      <x:c r="H6" s="38" t="n">
        <x:f>B6*50+C6*55+D6*45+E6*40+F6*0</x:f>
        <x:v>375</x:v>
      </x:c>
    </x:row>
    <x:row r="7">
      <x:c r="A7" s="24" t="str">
        <x:v>Master Schedule and Tracker</x:v>
      </x:c>
      <x:c r="B7" s="24" t="n">
        <x:v>4</x:v>
      </x:c>
      <x:c r="C7" s="24" t="n">
        <x:v>1</x:v>
      </x:c>
      <x:c r="D7" s="24" t="n">
        <x:v>0</x:v>
      </x:c>
      <x:c r="E7" s="24" t="n">
        <x:v>3</x:v>
      </x:c>
      <x:c r="F7" s="24" t="n">
        <x:v>0</x:v>
      </x:c>
      <x:c r="G7" s="24" t="n">
        <x:f>SUM(B7:F7)</x:f>
        <x:v>8</x:v>
      </x:c>
      <x:c r="H7" s="38" t="n">
        <x:f>B7*50+C7*55+D7*45+E7*40+F7*0</x:f>
        <x:v>375</x:v>
      </x:c>
    </x:row>
    <x:row r="8">
      <x:c r="A8" s="24" t="str">
        <x:v>NCD / Change Runbook</x:v>
      </x:c>
      <x:c r="B8" s="24" t="n">
        <x:v>3</x:v>
      </x:c>
      <x:c r="C8" s="24" t="n">
        <x:v>6</x:v>
      </x:c>
      <x:c r="D8" s="24" t="n">
        <x:v>2</x:v>
      </x:c>
      <x:c r="E8" s="24" t="n">
        <x:v>2</x:v>
      </x:c>
      <x:c r="F8" s="24" t="n">
        <x:v>0</x:v>
      </x:c>
      <x:c r="G8" s="24" t="n">
        <x:f>SUM(B8:F8)</x:f>
        <x:v>13</x:v>
      </x:c>
      <x:c r="H8" s="38" t="n">
        <x:f>B8*50+C8*55+D8*45+E8*40+F8*0</x:f>
        <x:v>650</x:v>
      </x:c>
    </x:row>
    <x:row r="9">
      <x:c r="A9" s="24" t="str">
        <x:v>ITQ / Interface Register</x:v>
      </x:c>
      <x:c r="B9" s="24" t="n">
        <x:v>3</x:v>
      </x:c>
      <x:c r="C9" s="24" t="n">
        <x:v>2</x:v>
      </x:c>
      <x:c r="D9" s="24" t="n">
        <x:v>1</x:v>
      </x:c>
      <x:c r="E9" s="24" t="n">
        <x:v>4</x:v>
      </x:c>
      <x:c r="F9" s="24" t="n">
        <x:v>0</x:v>
      </x:c>
      <x:c r="G9" s="24" t="n">
        <x:f>SUM(B9:F9)</x:f>
        <x:v>10</x:v>
      </x:c>
      <x:c r="H9" s="38" t="n">
        <x:f>B9*50+C9*55+D9*45+E9*40+F9*0</x:f>
        <x:v>465</x:v>
      </x:c>
    </x:row>
    <x:row r="10">
      <x:c r="A10" s="24" t="str">
        <x:v>Functional Design Specification</x:v>
      </x:c>
      <x:c r="B10" s="24" t="n">
        <x:v>2</x:v>
      </x:c>
      <x:c r="C10" s="24" t="n">
        <x:v>8</x:v>
      </x:c>
      <x:c r="D10" s="24" t="n">
        <x:v>1</x:v>
      </x:c>
      <x:c r="E10" s="24" t="n">
        <x:v>4</x:v>
      </x:c>
      <x:c r="F10" s="24" t="n">
        <x:v>0</x:v>
      </x:c>
      <x:c r="G10" s="24" t="n">
        <x:f>SUM(B10:F10)</x:f>
        <x:v>15</x:v>
      </x:c>
      <x:c r="H10" s="38" t="n">
        <x:f>B10*50+C10*55+D10*45+E10*40+F10*0</x:f>
        <x:v>745</x:v>
      </x:c>
    </x:row>
    <x:row r="11">
      <x:c r="A11" s="24" t="str">
        <x:v>VM Readiness and Snapshots</x:v>
      </x:c>
      <x:c r="B11" s="24" t="n">
        <x:v>1</x:v>
      </x:c>
      <x:c r="C11" s="24" t="n">
        <x:v>2</x:v>
      </x:c>
      <x:c r="D11" s="24" t="n">
        <x:v>8</x:v>
      </x:c>
      <x:c r="E11" s="24" t="n">
        <x:v>1</x:v>
      </x:c>
      <x:c r="F11" s="24" t="n">
        <x:v>7</x:v>
      </x:c>
      <x:c r="G11" s="24" t="n">
        <x:f>SUM(B11:F11)</x:f>
        <x:v>19</x:v>
      </x:c>
      <x:c r="H11" s="38" t="n">
        <x:f>B11*50+C11*55+D11*45+E11*40+F11*0</x:f>
        <x:v>560</x:v>
      </x:c>
    </x:row>
    <x:row r="12">
      <x:c r="A12" s="24" t="str">
        <x:v>Process Scripts and Exercises</x:v>
      </x:c>
      <x:c r="B12" s="24" t="n">
        <x:v>1</x:v>
      </x:c>
      <x:c r="C12" s="24" t="n">
        <x:v>8</x:v>
      </x:c>
      <x:c r="D12" s="24" t="n">
        <x:v>1</x:v>
      </x:c>
      <x:c r="E12" s="24" t="n">
        <x:v>1</x:v>
      </x:c>
      <x:c r="F12" s="24" t="n">
        <x:v>35</x:v>
      </x:c>
      <x:c r="G12" s="24" t="n">
        <x:f>SUM(B12:F12)</x:f>
        <x:v>46</x:v>
      </x:c>
      <x:c r="H12" s="38" t="n">
        <x:f>B12*50+C12*55+D12*45+E12*40+F12*0</x:f>
        <x:v>575</x:v>
      </x:c>
    </x:row>
    <x:row r="13">
      <x:c r="A13" s="24" t="str">
        <x:v>systemd Service Implementation</x:v>
      </x:c>
      <x:c r="B13" s="24" t="n">
        <x:v>1</x:v>
      </x:c>
      <x:c r="C13" s="24" t="n">
        <x:v>5</x:v>
      </x:c>
      <x:c r="D13" s="24" t="n">
        <x:v>1</x:v>
      </x:c>
      <x:c r="E13" s="24" t="n">
        <x:v>1</x:v>
      </x:c>
      <x:c r="F13" s="24" t="n">
        <x:v>14</x:v>
      </x:c>
      <x:c r="G13" s="24" t="n">
        <x:f>SUM(B13:F13)</x:f>
        <x:v>22</x:v>
      </x:c>
      <x:c r="H13" s="38" t="n">
        <x:f>B13*50+C13*55+D13*45+E13*40+F13*0</x:f>
        <x:v>410</x:v>
      </x:c>
    </x:row>
    <x:row r="14">
      <x:c r="A14" s="24" t="str">
        <x:v>Testing and Validation Evidence</x:v>
      </x:c>
      <x:c r="B14" s="24" t="n">
        <x:v>2</x:v>
      </x:c>
      <x:c r="C14" s="24" t="n">
        <x:v>6</x:v>
      </x:c>
      <x:c r="D14" s="24" t="n">
        <x:v>2</x:v>
      </x:c>
      <x:c r="E14" s="24" t="n">
        <x:v>4</x:v>
      </x:c>
      <x:c r="F14" s="24" t="n">
        <x:v>21</x:v>
      </x:c>
      <x:c r="G14" s="24" t="n">
        <x:f>SUM(B14:F14)</x:f>
        <x:v>35</x:v>
      </x:c>
      <x:c r="H14" s="38" t="n">
        <x:f>B14*50+C14*55+D14*45+E14*40+F14*0</x:f>
        <x:v>680</x:v>
      </x:c>
    </x:row>
    <x:row r="15">
      <x:c r="A15" s="24" t="str">
        <x:v>Incident Simulation and Recovery</x:v>
      </x:c>
      <x:c r="B15" s="24" t="n">
        <x:v>2</x:v>
      </x:c>
      <x:c r="C15" s="24" t="n">
        <x:v>5</x:v>
      </x:c>
      <x:c r="D15" s="24" t="n">
        <x:v>1</x:v>
      </x:c>
      <x:c r="E15" s="24" t="n">
        <x:v>2</x:v>
      </x:c>
      <x:c r="F15" s="24" t="n">
        <x:v>14</x:v>
      </x:c>
      <x:c r="G15" s="24" t="n">
        <x:f>SUM(B15:F15)</x:f>
        <x:v>24</x:v>
      </x:c>
      <x:c r="H15" s="38" t="n">
        <x:f>B15*50+C15*55+D15*45+E15*40+F15*0</x:f>
        <x:v>500</x:v>
      </x:c>
    </x:row>
    <x:row r="16">
      <x:c r="A16" s="24" t="str">
        <x:v>Training Presentation and Handover</x:v>
      </x:c>
      <x:c r="B16" s="24" t="n">
        <x:v>4</x:v>
      </x:c>
      <x:c r="C16" s="24" t="n">
        <x:v>2</x:v>
      </x:c>
      <x:c r="D16" s="24" t="n">
        <x:v>1</x:v>
      </x:c>
      <x:c r="E16" s="24" t="n">
        <x:v>3</x:v>
      </x:c>
      <x:c r="F16" s="24" t="n">
        <x:v>7</x:v>
      </x:c>
      <x:c r="G16" s="24" t="n">
        <x:f>SUM(B16:F16)</x:f>
        <x:v>17</x:v>
      </x:c>
      <x:c r="H16" s="38" t="n">
        <x:f>B16*50+C16*55+D16*45+E16*40+F16*0</x:f>
        <x:v>475</x:v>
      </x:c>
    </x:row>
    <x:row r="17">
      <x:c r="A17" s="24" t="str">
        <x:v>Project Closure and Lessons Learned</x:v>
      </x:c>
      <x:c r="B17" s="24" t="n">
        <x:v>4</x:v>
      </x:c>
      <x:c r="C17" s="24" t="n">
        <x:v>1</x:v>
      </x:c>
      <x:c r="D17" s="24" t="n">
        <x:v>0</x:v>
      </x:c>
      <x:c r="E17" s="24" t="n">
        <x:v>2</x:v>
      </x:c>
      <x:c r="F17" s="24" t="n">
        <x:v>7</x:v>
      </x:c>
      <x:c r="G17" s="24" t="n">
        <x:f>SUM(B17:F17)</x:f>
        <x:v>14</x:v>
      </x:c>
      <x:c r="H17" s="38" t="n">
        <x:f>B17*50+C17*55+D17*45+E17*40+F17*0</x:f>
        <x:v>335</x:v>
      </x:c>
    </x:row>
    <x:row r="18">
      <x:c r="A18" s="36" t="str">
        <x:v>TOTAL</x:v>
      </x:c>
      <x:c r="B18" s="36"/>
      <x:c r="C18" s="36"/>
      <x:c r="D18" s="36"/>
      <x:c r="E18" s="36"/>
      <x:c r="F18" s="36"/>
      <x:c r="G18" s="36" t="n">
        <x:f>SUM(G5:G17)</x:f>
        <x:v>242</x:v>
      </x:c>
      <x:c r="H18" s="39" t="n">
        <x:f>SUM(H5:H17)</x:f>
        <x:v>6660</x:v>
      </x:c>
    </x:row>
    <x:row r="20" ht="24" customHeight="1">
      <x:c r="A20" s="18" t="str">
        <x:v>Role Rate Assumptions</x:v>
      </x:c>
      <x:c r="B20" s="18"/>
      <x:c r="C20" s="18"/>
      <x:c r="D20" s="18"/>
      <x:c r="E20" s="18"/>
      <x:c r="F20" s="18"/>
      <x:c r="G20" s="18"/>
      <x:c r="H20" s="18"/>
    </x:row>
    <x:row r="21">
      <x:c r="A21" s="31" t="str">
        <x:v>Role</x:v>
      </x:c>
      <x:c r="B21" s="31" t="str">
        <x:v>Hourly Rate</x:v>
      </x:c>
      <x:c r="C21" s="31" t="str">
        <x:v>Planned Hours</x:v>
      </x:c>
      <x:c r="D21" s="31" t="str">
        <x:v>Planned Cost</x:v>
      </x:c>
    </x:row>
    <x:row r="22">
      <x:c r="A22" s="24" t="str">
        <x:v>Project Manager / Instructor</x:v>
      </x:c>
      <x:c r="B22" s="38" t="n">
        <x:v>50</x:v>
      </x:c>
      <x:c r="C22" s="38" t="n">
        <x:f>SUM(B5:B17)</x:f>
        <x:v>37</x:v>
      </x:c>
      <x:c r="D22" s="38" t="n">
        <x:f>B22*C22</x:f>
        <x:v>1850</x:v>
      </x:c>
    </x:row>
    <x:row r="23">
      <x:c r="A23" s="24" t="str">
        <x:v>Linux Technical Lead</x:v>
      </x:c>
      <x:c r="B23" s="38" t="n">
        <x:v>55</x:v>
      </x:c>
      <x:c r="C23" s="38" t="n">
        <x:f>SUM(C5:C17)</x:f>
        <x:v>48</x:v>
      </x:c>
      <x:c r="D23" s="38" t="n">
        <x:f>B23*C23</x:f>
        <x:v>2640</x:v>
      </x:c>
    </x:row>
    <x:row r="24">
      <x:c r="A24" s="24" t="str">
        <x:v>Xen Orchestra / Lab Administrator</x:v>
      </x:c>
      <x:c r="B24" s="38" t="n">
        <x:v>45</x:v>
      </x:c>
      <x:c r="C24" s="38" t="n">
        <x:f>SUM(D5:D17)</x:f>
        <x:v>18</x:v>
      </x:c>
      <x:c r="D24" s="38" t="n">
        <x:f>B24*C24</x:f>
        <x:v>810</x:v>
      </x:c>
    </x:row>
    <x:row r="25">
      <x:c r="A25" s="24" t="str">
        <x:v>Business Analyst / Document Controller</x:v>
      </x:c>
      <x:c r="B25" s="38" t="n">
        <x:v>40</x:v>
      </x:c>
      <x:c r="C25" s="38" t="n">
        <x:f>SUM(E5:E17)</x:f>
        <x:v>34</x:v>
      </x:c>
      <x:c r="D25" s="38" t="n">
        <x:f>B25*C25</x:f>
        <x:v>1360</x:v>
      </x:c>
    </x:row>
    <x:row r="26">
      <x:c r="A26" s="24" t="str">
        <x:v>Student Team</x:v>
      </x:c>
      <x:c r="B26" s="38" t="n">
        <x:v>0</x:v>
      </x:c>
      <x:c r="C26" s="38" t="n">
        <x:f>SUM(F5:F17)</x:f>
        <x:v>105</x:v>
      </x:c>
      <x:c r="D26" s="38" t="n">
        <x:f>B26*C26</x:f>
        <x:v>0</x:v>
      </x:c>
    </x:row>
  </x:sheetData>
  <x:mergeCells>
    <x:mergeCell ref="A1:H1"/>
    <x:mergeCell ref="A2:H2"/>
    <x:mergeCell ref="A18:F18"/>
    <x:mergeCell ref="A20:H20"/>
  </x:mergeCells>
  <x:pageMargins left="0.7" right="0.7" top="0.75" bottom="0.75" header="0.3" footer="0.3"/>
  <x:drawing xmlns:r="http://schemas.openxmlformats.org/officeDocument/2006/relationships" r:id="R2261d30c038e407e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2" hidden="0" customWidth="1"/>
    <x:col min="4" max="4" width="38" hidden="0" customWidth="1"/>
    <x:col min="5" max="5" width="32" hidden="0" customWidth="1"/>
    <x:col min="6" max="6" width="22" hidden="0" customWidth="1"/>
  </x:cols>
  <x:sheetData>
    <x:row r="1" ht="30" customHeight="1">
      <x:c r="A1" s="5" t="str">
        <x:v>Project Organization and Personnel Register</x:v>
      </x:c>
      <x:c r="B1" s="5"/>
      <x:c r="C1" s="5"/>
      <x:c r="D1" s="5"/>
      <x:c r="E1" s="5"/>
      <x:c r="F1" s="5"/>
    </x:row>
    <x:row r="2" ht="28" customHeight="1">
      <x:c r="A2" s="12" t="str">
        <x:v>Role clarity connects technical work to business accountability.</x:v>
      </x:c>
      <x:c r="B2" s="12"/>
      <x:c r="C2" s="12"/>
      <x:c r="D2" s="12"/>
      <x:c r="E2" s="12"/>
      <x:c r="F2" s="12"/>
    </x:row>
    <x:row r="4">
      <x:c r="A4" s="31" t="str">
        <x:v>No.</x:v>
      </x:c>
      <x:c r="B4" s="31" t="str">
        <x:v>Role / Responsibility</x:v>
      </x:c>
      <x:c r="C4" s="31" t="str">
        <x:v>Name</x:v>
      </x:c>
      <x:c r="D4" s="31" t="str">
        <x:v>Accountability</x:v>
      </x:c>
      <x:c r="E4" s="31" t="str">
        <x:v>Decision Authority</x:v>
      </x:c>
      <x:c r="F4" s="31" t="str">
        <x:v>Backup / Delegate</x:v>
      </x:c>
    </x:row>
    <x:row r="5">
      <x:c r="A5" s="24" t="n">
        <x:v>1</x:v>
      </x:c>
      <x:c r="B5" s="24" t="str">
        <x:v>Project Sponsor / Business Owner</x:v>
      </x:c>
      <x:c r="C5" s="24"/>
      <x:c r="D5" s="24" t="str">
        <x:v>Owns business value, funding and final acceptance</x:v>
      </x:c>
      <x:c r="E5" s="24" t="str">
        <x:v>Approve scope and closure</x:v>
      </x:c>
      <x:c r="F5" s="24"/>
    </x:row>
    <x:row r="6">
      <x:c r="A6" s="24" t="n">
        <x:v>2</x:v>
      </x:c>
      <x:c r="B6" s="24" t="str">
        <x:v>Project Manager / Instructor</x:v>
      </x:c>
      <x:c r="C6" s="24"/>
      <x:c r="D6" s="24" t="str">
        <x:v>Owns scope, cost, schedule, risk and communications</x:v>
      </x:c>
      <x:c r="E6" s="24" t="str">
        <x:v>Go / No-Go and corrective actions</x:v>
      </x:c>
      <x:c r="F6" s="24"/>
    </x:row>
    <x:row r="7">
      <x:c r="A7" s="24" t="n">
        <x:v>3</x:v>
      </x:c>
      <x:c r="B7" s="24" t="str">
        <x:v>Linux Technical Lead</x:v>
      </x:c>
      <x:c r="C7" s="24"/>
      <x:c r="D7" s="24" t="str">
        <x:v>Owns FDS, technical standards, coaching and acceptance</x:v>
      </x:c>
      <x:c r="E7" s="24" t="str">
        <x:v>Technical design and escalation</x:v>
      </x:c>
      <x:c r="F7" s="24"/>
    </x:row>
    <x:row r="8">
      <x:c r="A8" s="24" t="n">
        <x:v>4</x:v>
      </x:c>
      <x:c r="B8" s="24" t="str">
        <x:v>Xen Orchestra / Lab Administrator</x:v>
      </x:c>
      <x:c r="C8" s="24"/>
      <x:c r="D8" s="24" t="str">
        <x:v>Owns VM assignment, console, snapshots and recovery</x:v>
      </x:c>
      <x:c r="E8" s="24" t="str">
        <x:v>Infrastructure recovery</x:v>
      </x:c>
      <x:c r="F8" s="24"/>
    </x:row>
    <x:row r="9">
      <x:c r="A9" s="24" t="n">
        <x:v>5</x:v>
      </x:c>
      <x:c r="B9" s="24" t="str">
        <x:v>Business Analyst / Document Controller</x:v>
      </x:c>
      <x:c r="C9" s="24"/>
      <x:c r="D9" s="24" t="str">
        <x:v>Owns CTR, ITQ, revisions, evidence and final pack</x:v>
      </x:c>
      <x:c r="E9" s="24" t="str">
        <x:v>Document release</x:v>
      </x:c>
      <x:c r="F9" s="24"/>
    </x:row>
    <x:row r="10">
      <x:c r="A10" s="24" t="n">
        <x:v>6</x:v>
      </x:c>
      <x:c r="B10" s="24" t="str">
        <x:v>Student Team Lead</x:v>
      </x:c>
      <x:c r="C10" s="24"/>
      <x:c r="D10" s="24" t="str">
        <x:v>Coordinates student execution, evidence and status</x:v>
      </x:c>
      <x:c r="E10" s="24" t="str">
        <x:v>Team work allocation</x:v>
      </x:c>
      <x:c r="F10" s="24"/>
    </x:row>
    <x:row r="11">
      <x:c r="A11" s="24" t="n">
        <x:v>7</x:v>
      </x:c>
      <x:c r="B11" s="24" t="str">
        <x:v>Students / Junior Linux Operators</x:v>
      </x:c>
      <x:c r="C11" s="24"/>
      <x:c r="D11" s="24" t="str">
        <x:v>Execute approved runbook and submit evidence</x:v>
      </x:c>
      <x:c r="E11" s="24" t="str">
        <x:v>No scope change authority</x:v>
      </x:c>
      <x:c r="F11" s="24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8" hidden="0" customWidth="1"/>
    <x:col min="4" max="4" width="15" hidden="0" customWidth="1"/>
    <x:col min="5" max="5" width="15" hidden="0" customWidth="1"/>
    <x:col min="6" max="6" width="18" hidden="0" customWidth="1"/>
    <x:col min="7" max="7" width="15" hidden="0" customWidth="1"/>
    <x:col min="8" max="8" width="13" hidden="0" customWidth="1"/>
    <x:col min="9" max="9" width="26" hidden="0" customWidth="1"/>
  </x:cols>
  <x:sheetData>
    <x:row r="1" ht="30" customHeight="1">
      <x:c r="A1" s="5" t="str">
        <x:v>RACI Responsibility Matrix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12" t="str">
        <x:v>R = Responsible, A = Accountable, C = Consulted, I = Informed.</x:v>
      </x:c>
      <x:c r="B2" s="12"/>
      <x:c r="C2" s="12"/>
      <x:c r="D2" s="12"/>
      <x:c r="E2" s="12"/>
      <x:c r="F2" s="12"/>
      <x:c r="G2" s="12"/>
      <x:c r="H2" s="12"/>
      <x:c r="I2" s="12"/>
    </x:row>
    <x:row r="4">
      <x:c r="A4" s="31" t="str">
        <x:v>Activity</x:v>
      </x:c>
      <x:c r="B4" s="31" t="str">
        <x:v>Sponsor</x:v>
      </x:c>
      <x:c r="C4" s="31" t="str">
        <x:v>Project Manager</x:v>
      </x:c>
      <x:c r="D4" s="31" t="str">
        <x:v>Linux Lead</x:v>
      </x:c>
      <x:c r="E4" s="31" t="str">
        <x:v>Lab Admin</x:v>
      </x:c>
      <x:c r="F4" s="31" t="str">
        <x:v>Document Control</x:v>
      </x:c>
      <x:c r="G4" s="31" t="str">
        <x:v>Student Lead</x:v>
      </x:c>
      <x:c r="H4" s="31" t="str">
        <x:v>Students</x:v>
      </x:c>
      <x:c r="I4" s="31" t="str">
        <x:v>Primary Output</x:v>
      </x:c>
    </x:row>
    <x:row r="5">
      <x:c r="A5" s="24" t="str">
        <x:v>Approve business objective</x:v>
      </x:c>
      <x:c r="B5" s="24" t="str">
        <x:v>A</x:v>
      </x:c>
      <x:c r="C5" s="24" t="str">
        <x:v>R</x:v>
      </x:c>
      <x:c r="D5" s="24" t="str">
        <x:v>C</x:v>
      </x:c>
      <x:c r="E5" s="24" t="str">
        <x:v>I</x:v>
      </x:c>
      <x:c r="F5" s="24" t="str">
        <x:v>I</x:v>
      </x:c>
      <x:c r="G5" s="24" t="str">
        <x:v>I</x:v>
      </x:c>
      <x:c r="H5" s="24" t="str">
        <x:v>I</x:v>
      </x:c>
      <x:c r="I5" s="24" t="str">
        <x:v>Approved charter</x:v>
      </x:c>
    </x:row>
    <x:row r="6">
      <x:c r="A6" s="24" t="str">
        <x:v>Approve CTR / cost baseline</x:v>
      </x:c>
      <x:c r="B6" s="24" t="str">
        <x:v>A</x:v>
      </x:c>
      <x:c r="C6" s="24" t="str">
        <x:v>R</x:v>
      </x:c>
      <x:c r="D6" s="24" t="str">
        <x:v>C</x:v>
      </x:c>
      <x:c r="E6" s="24" t="str">
        <x:v>I</x:v>
      </x:c>
      <x:c r="F6" s="24" t="str">
        <x:v>C</x:v>
      </x:c>
      <x:c r="G6" s="24" t="str">
        <x:v>I</x:v>
      </x:c>
      <x:c r="H6" s="24" t="str">
        <x:v>I</x:v>
      </x:c>
      <x:c r="I6" s="24" t="str">
        <x:v>Approved CTR</x:v>
      </x:c>
    </x:row>
    <x:row r="7">
      <x:c r="A7" s="24" t="str">
        <x:v>Approve NCD / Go-No-Go</x:v>
      </x:c>
      <x:c r="B7" s="24" t="str">
        <x:v>I</x:v>
      </x:c>
      <x:c r="C7" s="24" t="str">
        <x:v>A/R</x:v>
      </x:c>
      <x:c r="D7" s="24" t="str">
        <x:v>C</x:v>
      </x:c>
      <x:c r="E7" s="24" t="str">
        <x:v>C</x:v>
      </x:c>
      <x:c r="F7" s="24" t="str">
        <x:v>I</x:v>
      </x:c>
      <x:c r="G7" s="24" t="str">
        <x:v>I</x:v>
      </x:c>
      <x:c r="H7" s="24" t="str">
        <x:v>I</x:v>
      </x:c>
      <x:c r="I7" s="24" t="str">
        <x:v>GO decision</x:v>
      </x:c>
    </x:row>
    <x:row r="8">
      <x:c r="A8" s="24" t="str">
        <x:v>Allocate VMs and snapshots</x:v>
      </x:c>
      <x:c r="B8" s="24" t="str">
        <x:v>I</x:v>
      </x:c>
      <x:c r="C8" s="24" t="str">
        <x:v>A</x:v>
      </x:c>
      <x:c r="D8" s="24" t="str">
        <x:v>C</x:v>
      </x:c>
      <x:c r="E8" s="24" t="str">
        <x:v>R</x:v>
      </x:c>
      <x:c r="F8" s="24" t="str">
        <x:v>I</x:v>
      </x:c>
      <x:c r="G8" s="24" t="str">
        <x:v>C</x:v>
      </x:c>
      <x:c r="H8" s="24" t="str">
        <x:v>I</x:v>
      </x:c>
      <x:c r="I8" s="24" t="str">
        <x:v>Ready inventory</x:v>
      </x:c>
    </x:row>
    <x:row r="9">
      <x:c r="A9" s="24" t="str">
        <x:v>Produce FDS</x:v>
      </x:c>
      <x:c r="B9" s="24" t="str">
        <x:v>I</x:v>
      </x:c>
      <x:c r="C9" s="24" t="str">
        <x:v>A</x:v>
      </x:c>
      <x:c r="D9" s="24" t="str">
        <x:v>R</x:v>
      </x:c>
      <x:c r="E9" s="24" t="str">
        <x:v>C</x:v>
      </x:c>
      <x:c r="F9" s="24" t="str">
        <x:v>C</x:v>
      </x:c>
      <x:c r="G9" s="24" t="str">
        <x:v>I</x:v>
      </x:c>
      <x:c r="H9" s="24" t="str">
        <x:v>I</x:v>
      </x:c>
      <x:c r="I9" s="24" t="str">
        <x:v>Approved design</x:v>
      </x:c>
    </x:row>
    <x:row r="10">
      <x:c r="A10" s="24" t="str">
        <x:v>Execute process lab</x:v>
      </x:c>
      <x:c r="B10" s="24" t="str">
        <x:v>I</x:v>
      </x:c>
      <x:c r="C10" s="24" t="str">
        <x:v>A</x:v>
      </x:c>
      <x:c r="D10" s="24" t="str">
        <x:v>C</x:v>
      </x:c>
      <x:c r="E10" s="24" t="str">
        <x:v>C</x:v>
      </x:c>
      <x:c r="F10" s="24" t="str">
        <x:v>I</x:v>
      </x:c>
      <x:c r="G10" s="24" t="str">
        <x:v>R</x:v>
      </x:c>
      <x:c r="H10" s="24" t="str">
        <x:v>R</x:v>
      </x:c>
      <x:c r="I10" s="24" t="str">
        <x:v>Working lab</x:v>
      </x:c>
    </x:row>
    <x:row r="11">
      <x:c r="A11" s="24" t="str">
        <x:v>Run incident simulation</x:v>
      </x:c>
      <x:c r="B11" s="24" t="str">
        <x:v>I</x:v>
      </x:c>
      <x:c r="C11" s="24" t="str">
        <x:v>A</x:v>
      </x:c>
      <x:c r="D11" s="24" t="str">
        <x:v>R</x:v>
      </x:c>
      <x:c r="E11" s="24" t="str">
        <x:v>C</x:v>
      </x:c>
      <x:c r="F11" s="24" t="str">
        <x:v>I</x:v>
      </x:c>
      <x:c r="G11" s="24" t="str">
        <x:v>C</x:v>
      </x:c>
      <x:c r="H11" s="24" t="str">
        <x:v>R</x:v>
      </x:c>
      <x:c r="I11" s="24" t="str">
        <x:v>Incident evidence</x:v>
      </x:c>
    </x:row>
    <x:row r="12">
      <x:c r="A12" s="24" t="str">
        <x:v>Validate technical result</x:v>
      </x:c>
      <x:c r="B12" s="24" t="str">
        <x:v>I</x:v>
      </x:c>
      <x:c r="C12" s="24" t="str">
        <x:v>A</x:v>
      </x:c>
      <x:c r="D12" s="24" t="str">
        <x:v>R</x:v>
      </x:c>
      <x:c r="E12" s="24" t="str">
        <x:v>C</x:v>
      </x:c>
      <x:c r="F12" s="24" t="str">
        <x:v>C</x:v>
      </x:c>
      <x:c r="G12" s="24" t="str">
        <x:v>C</x:v>
      </x:c>
      <x:c r="H12" s="24" t="str">
        <x:v>R</x:v>
      </x:c>
      <x:c r="I12" s="24" t="str">
        <x:v>Validation log</x:v>
      </x:c>
    </x:row>
    <x:row r="13">
      <x:c r="A13" s="24" t="str">
        <x:v>Control documents and revisions</x:v>
      </x:c>
      <x:c r="B13" s="24" t="str">
        <x:v>I</x:v>
      </x:c>
      <x:c r="C13" s="24" t="str">
        <x:v>A</x:v>
      </x:c>
      <x:c r="D13" s="24" t="str">
        <x:v>C</x:v>
      </x:c>
      <x:c r="E13" s="24" t="str">
        <x:v>I</x:v>
      </x:c>
      <x:c r="F13" s="24" t="str">
        <x:v>R</x:v>
      </x:c>
      <x:c r="G13" s="24" t="str">
        <x:v>C</x:v>
      </x:c>
      <x:c r="H13" s="24" t="str">
        <x:v>I</x:v>
      </x:c>
      <x:c r="I13" s="24" t="str">
        <x:v>Final document pack</x:v>
      </x:c>
    </x:row>
    <x:row r="14">
      <x:c r="A14" s="24" t="str">
        <x:v>Accept and close project</x:v>
      </x:c>
      <x:c r="B14" s="24" t="str">
        <x:v>A</x:v>
      </x:c>
      <x:c r="C14" s="24" t="str">
        <x:v>R</x:v>
      </x:c>
      <x:c r="D14" s="24" t="str">
        <x:v>C</x:v>
      </x:c>
      <x:c r="E14" s="24" t="str">
        <x:v>I</x:v>
      </x:c>
      <x:c r="F14" s="24" t="str">
        <x:v>C</x:v>
      </x:c>
      <x:c r="G14" s="24" t="str">
        <x:v>I</x:v>
      </x:c>
      <x:c r="H14" s="24" t="str">
        <x:v>I</x:v>
      </x:c>
      <x:c r="I14" s="24" t="str">
        <x:v>Closure approval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15" hidden="0" customWidth="1"/>
    <x:col min="4" max="4" width="12" hidden="0" customWidth="1"/>
    <x:col min="5" max="5" width="10" hidden="0" customWidth="1"/>
    <x:col min="6" max="6" width="12" hidden="0" customWidth="1"/>
    <x:col min="7" max="7" width="38" hidden="0" customWidth="1"/>
    <x:col min="8" max="8" width="34" hidden="0" customWidth="1"/>
    <x:col min="9" max="9" width="18" hidden="0" customWidth="1"/>
    <x:col min="10" max="10" width="14" hidden="0" customWidth="1"/>
    <x:col min="11" max="11" width="14" hidden="0" customWidth="1"/>
  </x:cols>
  <x:sheetData>
    <x:row r="1" ht="30" customHeight="1">
      <x:c r="A1" s="5" t="str">
        <x:v>Project Risk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8" customHeight="1">
      <x:c r="A2" s="12" t="str">
        <x:v>Probability × Impact = Risk Score. Owners must maintain mitigation and contingency actions.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>
      <x:c r="A4" s="31" t="str">
        <x:v>Risk ID</x:v>
      </x:c>
      <x:c r="B4" s="31" t="str">
        <x:v>Risk Description</x:v>
      </x:c>
      <x:c r="C4" s="31" t="str">
        <x:v>Probability (1-5)</x:v>
      </x:c>
      <x:c r="D4" s="31" t="str">
        <x:v>Impact (1-5)</x:v>
      </x:c>
      <x:c r="E4" s="31" t="str">
        <x:v>Score</x:v>
      </x:c>
      <x:c r="F4" s="31" t="str">
        <x:v>Rating</x:v>
      </x:c>
      <x:c r="G4" s="31" t="str">
        <x:v>Mitigation</x:v>
      </x:c>
      <x:c r="H4" s="31" t="str">
        <x:v>Contingency / Response</x:v>
      </x:c>
      <x:c r="I4" s="31" t="str">
        <x:v>Owner</x:v>
      </x:c>
      <x:c r="J4" s="31" t="str">
        <x:v>Status</x:v>
      </x:c>
      <x:c r="K4" s="31" t="str">
        <x:v>Review Date</x:v>
      </x:c>
    </x:row>
    <x:row r="5">
      <x:c r="A5" s="24" t="str">
        <x:v>R1</x:v>
      </x:c>
      <x:c r="B5" s="24" t="str">
        <x:v>Student runs commands on the wrong VM</x:v>
      </x:c>
      <x:c r="C5" s="24" t="n">
        <x:v>2</x:v>
      </x:c>
      <x:c r="D5" s="24" t="n">
        <x:v>5</x:v>
      </x:c>
      <x:c r="E5" s="24" t="n">
        <x:f>C5*D5</x:f>
        <x:v>10</x:v>
      </x:c>
      <x:c r="F5" s="24" t="str">
        <x:f>IF(E5&gt;=15,"High",IF(E5&gt;=8,"Medium","Low"))</x:f>
        <x:v>Medium</x:v>
      </x:c>
      <x:c r="G5" s="24" t="str">
        <x:v>Use roster, hostname/IP check and one-VM-per-student rule.</x:v>
      </x:c>
      <x:c r="H5" s="24" t="str">
        <x:v>Stop work, preserve evidence and involve lab administrator.</x:v>
      </x:c>
      <x:c r="I5" s="24" t="str">
        <x:v>Student Lead</x:v>
      </x:c>
      <x:c r="J5" s="24" t="str">
        <x:v>Open</x:v>
      </x:c>
      <x:c r="K5" s="42" t="n">
        <x:v>46230</x:v>
      </x:c>
    </x:row>
    <x:row r="6">
      <x:c r="A6" s="24" t="str">
        <x:v>R2</x:v>
      </x:c>
      <x:c r="B6" s="24" t="str">
        <x:v>CPU worker causes excessive shared-host load</x:v>
      </x:c>
      <x:c r="C6" s="24" t="n">
        <x:v>3</x:v>
      </x:c>
      <x:c r="D6" s="24" t="n">
        <x:v>4</x:v>
      </x:c>
      <x:c r="E6" s="24" t="n">
        <x:f>C6*D6</x:f>
        <x:v>12</x:v>
      </x:c>
      <x:c r="F6" s="24" t="str">
        <x:f>IF(E6&gt;=15,"High",IF(E6&gt;=8,"Medium","Low"))</x:f>
        <x:v>Medium</x:v>
      </x:c>
      <x:c r="G6" s="24" t="str">
        <x:v>Run one worker for a limited time and stop after evidence.</x:v>
      </x:c>
      <x:c r="H6" s="24" t="str">
        <x:v>Terminate worker and suspend exercise.</x:v>
      </x:c>
      <x:c r="I6" s="24" t="str">
        <x:v>Linux Lead</x:v>
      </x:c>
      <x:c r="J6" s="24" t="str">
        <x:v>Open</x:v>
      </x:c>
      <x:c r="K6" s="42" t="n">
        <x:v>46230</x:v>
      </x:c>
    </x:row>
    <x:row r="7">
      <x:c r="A7" s="24" t="str">
        <x:v>R3</x:v>
      </x:c>
      <x:c r="B7" s="24" t="str">
        <x:v>No root access or credentials unavailable</x:v>
      </x:c>
      <x:c r="C7" s="24" t="n">
        <x:v>3</x:v>
      </x:c>
      <x:c r="D7" s="24" t="n">
        <x:v>4</x:v>
      </x:c>
      <x:c r="E7" s="24" t="n">
        <x:f>C7*D7</x:f>
        <x:v>12</x:v>
      </x:c>
      <x:c r="F7" s="24" t="str">
        <x:f>IF(E7&gt;=15,"High",IF(E7&gt;=8,"Medium","Low"))</x:f>
        <x:v>Medium</x:v>
      </x:c>
      <x:c r="G7" s="24" t="str">
        <x:v>Verify access before Go / No-Go.</x:v>
      </x:c>
      <x:c r="H7" s="24" t="str">
        <x:v>Reissue credentials or reassign VM.</x:v>
      </x:c>
      <x:c r="I7" s="24" t="str">
        <x:v>Lab Admin</x:v>
      </x:c>
      <x:c r="J7" s="24" t="str">
        <x:v>Open</x:v>
      </x:c>
      <x:c r="K7" s="42" t="n">
        <x:v>46230</x:v>
      </x:c>
    </x:row>
    <x:row r="8">
      <x:c r="A8" s="24" t="str">
        <x:v>R4</x:v>
      </x:c>
      <x:c r="B8" s="24" t="str">
        <x:v>Package repositories unavailable</x:v>
      </x:c>
      <x:c r="C8" s="24" t="n">
        <x:v>2</x:v>
      </x:c>
      <x:c r="D8" s="24" t="n">
        <x:v>3</x:v>
      </x:c>
      <x:c r="E8" s="24" t="n">
        <x:f>C8*D8</x:f>
        <x:v>6</x:v>
      </x:c>
      <x:c r="F8" s="24" t="str">
        <x:f>IF(E8&gt;=15,"High",IF(E8&gt;=8,"Medium","Low"))</x:f>
        <x:v>Low</x:v>
      </x:c>
      <x:c r="G8" s="24" t="str">
        <x:v>Pre-check dnf repositories.</x:v>
      </x:c>
      <x:c r="H8" s="24" t="str">
        <x:v>Use approved local cache or reschedule.</x:v>
      </x:c>
      <x:c r="I8" s="24" t="str">
        <x:v>Lab Admin</x:v>
      </x:c>
      <x:c r="J8" s="24" t="str">
        <x:v>Open</x:v>
      </x:c>
      <x:c r="K8" s="42" t="n">
        <x:v>46230</x:v>
      </x:c>
    </x:row>
    <x:row r="9">
      <x:c r="A9" s="24" t="str">
        <x:v>R5</x:v>
      </x:c>
      <x:c r="B9" s="24" t="str">
        <x:v>Student loses SSH access</x:v>
      </x:c>
      <x:c r="C9" s="24" t="n">
        <x:v>2</x:v>
      </x:c>
      <x:c r="D9" s="24" t="n">
        <x:v>4</x:v>
      </x:c>
      <x:c r="E9" s="24" t="n">
        <x:f>C9*D9</x:f>
        <x:v>8</x:v>
      </x:c>
      <x:c r="F9" s="24" t="str">
        <x:f>IF(E9&gt;=15,"High",IF(E9&gt;=8,"Medium","Low"))</x:f>
        <x:v>Medium</x:v>
      </x:c>
      <x:c r="G9" s="24" t="str">
        <x:v>Maintain Xen Orchestra console access.</x:v>
      </x:c>
      <x:c r="H9" s="24" t="str">
        <x:v>Recover through console or snapshot.</x:v>
      </x:c>
      <x:c r="I9" s="24" t="str">
        <x:v>Lab Admin</x:v>
      </x:c>
      <x:c r="J9" s="24" t="str">
        <x:v>Open</x:v>
      </x:c>
      <x:c r="K9" s="42" t="n">
        <x:v>46230</x:v>
      </x:c>
    </x:row>
    <x:row r="10">
      <x:c r="A10" s="24" t="str">
        <x:v>R6</x:v>
      </x:c>
      <x:c r="B10" s="24" t="str">
        <x:v>Snapshot not created or storage is full</x:v>
      </x:c>
      <x:c r="C10" s="24" t="n">
        <x:v>2</x:v>
      </x:c>
      <x:c r="D10" s="24" t="n">
        <x:v>5</x:v>
      </x:c>
      <x:c r="E10" s="24" t="n">
        <x:f>C10*D10</x:f>
        <x:v>10</x:v>
      </x:c>
      <x:c r="F10" s="24" t="str">
        <x:f>IF(E10&gt;=15,"High",IF(E10&gt;=8,"Medium","Low"))</x:f>
        <x:v>Medium</x:v>
      </x:c>
      <x:c r="G10" s="24" t="str">
        <x:v>Mandatory snapshot gate and storage check.</x:v>
      </x:c>
      <x:c r="H10" s="24" t="str">
        <x:v>Manual cleanup or VM rebuild.</x:v>
      </x:c>
      <x:c r="I10" s="24" t="str">
        <x:v>Lab Admin</x:v>
      </x:c>
      <x:c r="J10" s="24" t="str">
        <x:v>Open</x:v>
      </x:c>
      <x:c r="K10" s="42" t="n">
        <x:v>46230</x:v>
      </x:c>
    </x:row>
    <x:row r="11">
      <x:c r="A11" s="24" t="str">
        <x:v>R7</x:v>
      </x:c>
      <x:c r="B11" s="24" t="str">
        <x:v>Validation evidence is incomplete</x:v>
      </x:c>
      <x:c r="C11" s="24" t="n">
        <x:v>3</x:v>
      </x:c>
      <x:c r="D11" s="24" t="n">
        <x:v>3</x:v>
      </x:c>
      <x:c r="E11" s="24" t="n">
        <x:f>C11*D11</x:f>
        <x:v>9</x:v>
      </x:c>
      <x:c r="F11" s="24" t="str">
        <x:f>IF(E11&gt;=15,"High",IF(E11&gt;=8,"Medium","Low"))</x:f>
        <x:v>Medium</x:v>
      </x:c>
      <x:c r="G11" s="24" t="str">
        <x:v>Use evidence checklist and naming convention.</x:v>
      </x:c>
      <x:c r="H11" s="24" t="str">
        <x:v>Issue punch list and extend submission.</x:v>
      </x:c>
      <x:c r="I11" s="24" t="str">
        <x:v>Document Controller</x:v>
      </x:c>
      <x:c r="J11" s="24" t="str">
        <x:v>Open</x:v>
      </x:c>
      <x:c r="K11" s="42" t="n">
        <x:v>46230</x:v>
      </x:c>
    </x:row>
    <x:row r="12">
      <x:c r="A12" s="24" t="str">
        <x:v>R8</x:v>
      </x:c>
      <x:c r="B12" s="24" t="str">
        <x:v>Students use real bank/customer data</x:v>
      </x:c>
      <x:c r="C12" s="24" t="n">
        <x:v>1</x:v>
      </x:c>
      <x:c r="D12" s="24" t="n">
        <x:v>5</x:v>
      </x:c>
      <x:c r="E12" s="24" t="n">
        <x:f>C12*D12</x:f>
        <x:v>5</x:v>
      </x:c>
      <x:c r="F12" s="24" t="str">
        <x:f>IF(E12&gt;=15,"High",IF(E12&gt;=8,"Medium","Low"))</x:f>
        <x:v>Low</x:v>
      </x:c>
      <x:c r="G12" s="24" t="str">
        <x:v>Synthetic scenario and explicit privacy rule.</x:v>
      </x:c>
      <x:c r="H12" s="24" t="str">
        <x:v>Stop exercise, remove data and escalate.</x:v>
      </x:c>
      <x:c r="I12" s="24" t="str">
        <x:v>Project Manager</x:v>
      </x:c>
      <x:c r="J12" s="24" t="str">
        <x:v>Open</x:v>
      </x:c>
      <x:c r="K12" s="42" t="n">
        <x:v>46230</x:v>
      </x:c>
    </x:row>
    <x:row r="13">
      <x:c r="A13" s="24" t="str">
        <x:v>R9</x:v>
      </x:c>
      <x:c r="B13" s="24" t="str">
        <x:v>systemd service runs as root instead of reportsvc</x:v>
      </x:c>
      <x:c r="C13" s="24" t="n">
        <x:v>2</x:v>
      </x:c>
      <x:c r="D13" s="24" t="n">
        <x:v>4</x:v>
      </x:c>
      <x:c r="E13" s="24" t="n">
        <x:f>C13*D13</x:f>
        <x:v>8</x:v>
      </x:c>
      <x:c r="F13" s="24" t="str">
        <x:f>IF(E13&gt;=15,"High",IF(E13&gt;=8,"Medium","Low"))</x:f>
        <x:v>Medium</x:v>
      </x:c>
      <x:c r="G13" s="24" t="str">
        <x:v>Acceptance test checks process owner.</x:v>
      </x:c>
      <x:c r="H13" s="24" t="str">
        <x:v>Correct unit file and revalidate.</x:v>
      </x:c>
      <x:c r="I13" s="24" t="str">
        <x:v>Linux Lead</x:v>
      </x:c>
      <x:c r="J13" s="24" t="str">
        <x:v>Open</x:v>
      </x:c>
      <x:c r="K13" s="42" t="n">
        <x:v>46230</x:v>
      </x:c>
    </x:row>
    <x:row r="14">
      <x:c r="A14" s="24" t="str">
        <x:v>R10</x:v>
      </x:c>
      <x:c r="B14" s="24" t="str">
        <x:v>Schedule slips due to unresolved ITQs</x:v>
      </x:c>
      <x:c r="C14" s="24" t="n">
        <x:v>3</x:v>
      </x:c>
      <x:c r="D14" s="24" t="n">
        <x:v>3</x:v>
      </x:c>
      <x:c r="E14" s="24" t="n">
        <x:f>C14*D14</x:f>
        <x:v>9</x:v>
      </x:c>
      <x:c r="F14" s="24" t="str">
        <x:f>IF(E14&gt;=15,"High",IF(E14&gt;=8,"Medium","Low"))</x:f>
        <x:v>Medium</x:v>
      </x:c>
      <x:c r="G14" s="24" t="str">
        <x:v>ITQ due dates and twice-weekly review.</x:v>
      </x:c>
      <x:c r="H14" s="24" t="str">
        <x:v>Rebaseline with sponsor approval.</x:v>
      </x:c>
      <x:c r="I14" s="24" t="str">
        <x:v>Project Manager</x:v>
      </x:c>
      <x:c r="J14" s="24" t="str">
        <x:v>Open</x:v>
      </x:c>
      <x:c r="K14" s="42" t="n">
        <x:v>46230</x:v>
      </x:c>
    </x:row>
  </x:sheetData>
  <x:mergeCells>
    <x:mergeCell ref="A1:K1"/>
    <x:mergeCell ref="A2:K2"/>
  </x:mergeCells>
  <x:conditionalFormatting sqref="E5:E14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J5:J14">
    <x:cfRule type="expression" dxfId="5" priority="2">
      <x:formula>J5="Complete"</x:formula>
    </x:cfRule>
    <x:cfRule type="expression" dxfId="6" priority="3">
      <x:formula>J5="In Progress"</x:formula>
    </x:cfRule>
    <x:cfRule type="expression" dxfId="7" priority="4">
      <x:formula>J5="Failed"</x:formula>
    </x:cfRule>
    <x:cfRule type="expression" dxfId="8" priority="5">
      <x:formula>J5="Approved"</x:formula>
    </x:cfRule>
    <x:cfRule type="expression" dxfId="9" priority="6">
      <x:formula>J5="Pending"</x:formula>
    </x:cfRule>
  </x:conditionalFormatting>
  <x:dataValidations count="1">
    <x:dataValidation type="list" sqref="J5:J14">
      <x:formula1>"Open,Mitigating,Closed,Accepted,Escalated"</x:formula1>
    </x:dataValidation>
  </x:dataValidations>
  <x:pageMargins left="0.7" right="0.7" top="0.75" bottom="0.75" header="0.3" footer="0.3"/>
  <x:drawing xmlns:r="http://schemas.openxmlformats.org/officeDocument/2006/relationships" r:id="Rfd6830facee345e2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22" hidden="0" customWidth="1"/>
    <x:col min="5" max="5" width="34" hidden="0" customWidth="1"/>
    <x:col min="6" max="6" width="20" hidden="0" customWidth="1"/>
    <x:col min="7" max="7" width="34" hidden="0" customWidth="1"/>
  </x:cols>
  <x:sheetData>
    <x:row r="1" ht="30" customHeight="1">
      <x:c r="A1" s="5" t="str">
        <x:v>Software, Platforms and Document Tools</x:v>
      </x:c>
      <x:c r="B1" s="5"/>
      <x:c r="C1" s="5"/>
      <x:c r="D1" s="5"/>
      <x:c r="E1" s="5"/>
      <x:c r="F1" s="5"/>
      <x:c r="G1" s="5"/>
    </x:row>
    <x:row r="2" ht="28" customHeight="1">
      <x:c r="A2" s="12" t="str">
        <x:v>Baseline uses existing infrastructure and open-source Linux components.</x:v>
      </x:c>
      <x:c r="B2" s="12"/>
      <x:c r="C2" s="12"/>
      <x:c r="D2" s="12"/>
      <x:c r="E2" s="12"/>
      <x:c r="F2" s="12"/>
      <x:c r="G2" s="12"/>
    </x:row>
    <x:row r="4">
      <x:c r="A4" s="31" t="str">
        <x:v>Category</x:v>
      </x:c>
      <x:c r="B4" s="31" t="str">
        <x:v>Product / Tool</x:v>
      </x:c>
      <x:c r="C4" s="31" t="str">
        <x:v>Version / Type</x:v>
      </x:c>
      <x:c r="D4" s="31" t="str">
        <x:v>License / Cost</x:v>
      </x:c>
      <x:c r="E4" s="31" t="str">
        <x:v>Purpose</x:v>
      </x:c>
      <x:c r="F4" s="31" t="str">
        <x:v>Owner</x:v>
      </x:c>
      <x:c r="G4" s="31" t="str">
        <x:v>Notes</x:v>
      </x:c>
    </x:row>
    <x:row r="5">
      <x:c r="A5" s="24" t="str">
        <x:v>Virtualization</x:v>
      </x:c>
      <x:c r="B5" s="24" t="str">
        <x:v>XCP-ng / Xen Orchestra</x:v>
      </x:c>
      <x:c r="C5" s="24" t="str">
        <x:v>Existing lab platform</x:v>
      </x:c>
      <x:c r="D5" s="24" t="str">
        <x:v>Existing / Open source</x:v>
      </x:c>
      <x:c r="E5" s="24" t="str">
        <x:v>Student VM hosting, console and snapshots</x:v>
      </x:c>
      <x:c r="F5" s="24" t="str">
        <x:v>Lab Admin</x:v>
      </x:c>
      <x:c r="G5" s="24" t="str">
        <x:v>No student access to other VMs.</x:v>
      </x:c>
    </x:row>
    <x:row r="6">
      <x:c r="A6" s="24" t="str">
        <x:v>Operating System</x:v>
      </x:c>
      <x:c r="B6" s="24" t="str">
        <x:v>Rocky Linux</x:v>
      </x:c>
      <x:c r="C6" s="24" t="str">
        <x:v>9.x</x:v>
      </x:c>
      <x:c r="D6" s="24" t="str">
        <x:v>Open source</x:v>
      </x:c>
      <x:c r="E6" s="24" t="str">
        <x:v>Student process-management platform</x:v>
      </x:c>
      <x:c r="F6" s="24" t="str">
        <x:v>Lab Admin</x:v>
      </x:c>
      <x:c r="G6" s="24" t="str">
        <x:v>One VM per student.</x:v>
      </x:c>
    </x:row>
    <x:row r="7">
      <x:c r="A7" s="24" t="str">
        <x:v>Shell</x:v>
      </x:c>
      <x:c r="B7" s="24" t="str">
        <x:v>Bash</x:v>
      </x:c>
      <x:c r="C7" s="24" t="str">
        <x:v>OS supplied</x:v>
      </x:c>
      <x:c r="D7" s="24" t="str">
        <x:v>Open source</x:v>
      </x:c>
      <x:c r="E7" s="24" t="str">
        <x:v>Scripts and process demonstrations</x:v>
      </x:c>
      <x:c r="F7" s="24" t="str">
        <x:v>Student</x:v>
      </x:c>
      <x:c r="G7" s="24" t="str">
        <x:v>Root commands in training only.</x:v>
      </x:c>
    </x:row>
    <x:row r="8">
      <x:c r="A8" s="24" t="str">
        <x:v>Process Tools</x:v>
      </x:c>
      <x:c r="B8" s="24" t="str">
        <x:v>procps-ng / psmisc</x:v>
      </x:c>
      <x:c r="C8" s="24" t="str">
        <x:v>Rocky package</x:v>
      </x:c>
      <x:c r="D8" s="24" t="str">
        <x:v>Open source</x:v>
      </x:c>
      <x:c r="E8" s="24" t="str">
        <x:v>ps, top, pgrep, pstree and related tools</x:v>
      </x:c>
      <x:c r="F8" s="24" t="str">
        <x:v>Student</x:v>
      </x:c>
      <x:c r="G8" s="24" t="str">
        <x:v>Mandatory prerequisite.</x:v>
      </x:c>
    </x:row>
    <x:row r="9">
      <x:c r="A9" s="24" t="str">
        <x:v>Compiler</x:v>
      </x:c>
      <x:c r="B9" s="24" t="str">
        <x:v>GCC</x:v>
      </x:c>
      <x:c r="C9" s="24" t="str">
        <x:v>Rocky package</x:v>
      </x:c>
      <x:c r="D9" s="24" t="str">
        <x:v>Open source</x:v>
      </x:c>
      <x:c r="E9" s="24" t="str">
        <x:v>Compile zombie process demonstration</x:v>
      </x:c>
      <x:c r="F9" s="24" t="str">
        <x:v>Student</x:v>
      </x:c>
      <x:c r="G9" s="24" t="str">
        <x:v>Remove not required after lab.</x:v>
      </x:c>
    </x:row>
    <x:row r="10">
      <x:c r="A10" s="24" t="str">
        <x:v>Service Manager</x:v>
      </x:c>
      <x:c r="B10" s="24" t="str">
        <x:v>systemd</x:v>
      </x:c>
      <x:c r="C10" s="24" t="str">
        <x:v>OS supplied</x:v>
      </x:c>
      <x:c r="D10" s="24" t="str">
        <x:v>Open source</x:v>
      </x:c>
      <x:c r="E10" s="24" t="str">
        <x:v>Service lifecycle and restart policy</x:v>
      </x:c>
      <x:c r="F10" s="24" t="str">
        <x:v>Linux Lead</x:v>
      </x:c>
      <x:c r="G10" s="24" t="str">
        <x:v>reportsvc least privilege.</x:v>
      </x:c>
    </x:row>
    <x:row r="11">
      <x:c r="A11" s="24" t="str">
        <x:v>Documentation</x:v>
      </x:c>
      <x:c r="B11" s="24" t="str">
        <x:v>Microsoft Excel / LibreOffice</x:v>
      </x:c>
      <x:c r="C11" s="24" t="str">
        <x:v>Existing</x:v>
      </x:c>
      <x:c r="D11" s="24" t="str">
        <x:v>Existing / Open source</x:v>
      </x:c>
      <x:c r="E11" s="24" t="str">
        <x:v>CTR, schedule, NCD, ITQ and PMP</x:v>
      </x:c>
      <x:c r="F11" s="24" t="str">
        <x:v>Document Controller</x:v>
      </x:c>
      <x:c r="G11" s="24" t="str">
        <x:v>Controlled revision naming.</x:v>
      </x:c>
    </x:row>
    <x:row r="12">
      <x:c r="A12" s="24" t="str">
        <x:v>Documentation</x:v>
      </x:c>
      <x:c r="B12" s="24" t="str">
        <x:v>Microsoft Word / LibreOffice</x:v>
      </x:c>
      <x:c r="C12" s="24" t="str">
        <x:v>Existing</x:v>
      </x:c>
      <x:c r="D12" s="24" t="str">
        <x:v>Existing / Open source</x:v>
      </x:c>
      <x:c r="E12" s="24" t="str">
        <x:v>FDS and incident report</x:v>
      </x:c>
      <x:c r="F12" s="24" t="str">
        <x:v>Document Controller</x:v>
      </x:c>
      <x:c r="G12" s="24" t="str">
        <x:v>Export final PDF for review.</x:v>
      </x:c>
    </x:row>
    <x:row r="13">
      <x:c r="A13" s="24" t="str">
        <x:v>Presentation</x:v>
      </x:c>
      <x:c r="B13" s="24" t="str">
        <x:v>Microsoft PowerPoint / LibreOffice Impress</x:v>
      </x:c>
      <x:c r="C13" s="24" t="str">
        <x:v>Existing</x:v>
      </x:c>
      <x:c r="D13" s="24" t="str">
        <x:v>Existing / Open source</x:v>
      </x:c>
      <x:c r="E13" s="24" t="str">
        <x:v>Student handover presentation</x:v>
      </x:c>
      <x:c r="F13" s="24" t="str">
        <x:v>Student Team</x:v>
      </x:c>
      <x:c r="G13" s="24" t="str">
        <x:v>Bank-style business presentation.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24" hidden="0" customWidth="1"/>
    <x:col min="4" max="4" width="20" hidden="0" customWidth="1"/>
    <x:col min="5" max="5" width="40" hidden="0" customWidth="1"/>
    <x:col min="6" max="6" width="24" hidden="0" customWidth="1"/>
    <x:col min="7" max="7" width="38" hidden="0" customWidth="1"/>
    <x:col min="8" max="8" width="24" hidden="0" customWidth="1"/>
  </x:cols>
  <x:sheetData>
    <x:row r="1" ht="30" customHeight="1">
      <x:c r="A1" s="5" t="str">
        <x:v>How the Documents Teach Business Project Delivery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Students should understand why each document exists, who uses it and what decision it supports.</x:v>
      </x:c>
      <x:c r="B2" s="12"/>
      <x:c r="C2" s="12"/>
      <x:c r="D2" s="12"/>
      <x:c r="E2" s="12"/>
      <x:c r="F2" s="12"/>
      <x:c r="G2" s="12"/>
      <x:c r="H2" s="12"/>
    </x:row>
    <x:row r="4">
      <x:c r="A4" s="31" t="str">
        <x:v>Document</x:v>
      </x:c>
      <x:c r="B4" s="31" t="str">
        <x:v>Business Question Answered</x:v>
      </x:c>
      <x:c r="C4" s="31" t="str">
        <x:v>Primary Owner</x:v>
      </x:c>
      <x:c r="D4" s="31" t="str">
        <x:v>When Used</x:v>
      </x:c>
      <x:c r="E4" s="31" t="str">
        <x:v>Key Student Learning</x:v>
      </x:c>
      <x:c r="F4" s="31" t="str">
        <x:v>Approval / Decision</x:v>
      </x:c>
      <x:c r="G4" s="31" t="str">
        <x:v>Typical Failure if Missing</x:v>
      </x:c>
      <x:c r="H4" s="31" t="str">
        <x:v>Project Artifact</x:v>
      </x:c>
    </x:row>
    <x:row r="5">
      <x:c r="A5" s="24" t="str">
        <x:v>CTR</x:v>
      </x:c>
      <x:c r="B5" s="24" t="str">
        <x:v>What are we delivering, how long will it take, who is needed and what will it cost?</x:v>
      </x:c>
      <x:c r="C5" s="24" t="str">
        <x:v>Project Manager</x:v>
      </x:c>
      <x:c r="D5" s="24" t="str">
        <x:v>Initiation / bidding</x:v>
      </x:c>
      <x:c r="E5" s="24" t="str">
        <x:v>Scope, commercial estimate and assumptions</x:v>
      </x:c>
      <x:c r="F5" s="24" t="str">
        <x:v>Sponsor / Customer approval</x:v>
      </x:c>
      <x:c r="G5" s="24" t="str">
        <x:v>Scope and cost disputes</x:v>
      </x:c>
      <x:c r="H5" s="24" t="str">
        <x:v>CTR workbook</x:v>
      </x:c>
    </x:row>
    <x:row r="6">
      <x:c r="A6" s="24" t="str">
        <x:v>PMP</x:v>
      </x:c>
      <x:c r="B6" s="24" t="str">
        <x:v>How will the project be governed and controlled?</x:v>
      </x:c>
      <x:c r="C6" s="24" t="str">
        <x:v>Project Manager</x:v>
      </x:c>
      <x:c r="D6" s="24" t="str">
        <x:v>Entire lifecycle</x:v>
      </x:c>
      <x:c r="E6" s="24" t="str">
        <x:v>Governance, communication, RACI, risk and quality</x:v>
      </x:c>
      <x:c r="F6" s="24" t="str">
        <x:v>Project Sponsor</x:v>
      </x:c>
      <x:c r="G6" s="24" t="str">
        <x:v>Unclear roles and unmanaged risks</x:v>
      </x:c>
      <x:c r="H6" s="24" t="str">
        <x:v>PMP workbook</x:v>
      </x:c>
    </x:row>
    <x:row r="7">
      <x:c r="A7" s="24" t="str">
        <x:v>Master Schedule</x:v>
      </x:c>
      <x:c r="B7" s="24" t="str">
        <x:v>When will each activity and deliverable be completed?</x:v>
      </x:c>
      <x:c r="C7" s="24" t="str">
        <x:v>Project Manager / Planner</x:v>
      </x:c>
      <x:c r="D7" s="24" t="str">
        <x:v>Planning and status reviews</x:v>
      </x:c>
      <x:c r="E7" s="24" t="str">
        <x:v>WBS, dependencies, milestones and forecast</x:v>
      </x:c>
      <x:c r="F7" s="24" t="str">
        <x:v>Baseline approval</x:v>
      </x:c>
      <x:c r="G7" s="24" t="str">
        <x:v>Late delivery is discovered too late</x:v>
      </x:c>
      <x:c r="H7" s="24" t="str">
        <x:v>Schedule workbook</x:v>
      </x:c>
    </x:row>
    <x:row r="8">
      <x:c r="A8" s="24" t="str">
        <x:v>NCD</x:v>
      </x:c>
      <x:c r="B8" s="24" t="str">
        <x:v>How will the change be implemented, validated and rolled back safely?</x:v>
      </x:c>
      <x:c r="C8" s="24" t="str">
        <x:v>Change Manager / Technical Lead</x:v>
      </x:c>
      <x:c r="D8" s="24" t="str">
        <x:v>Before and during implementation</x:v>
      </x:c>
      <x:c r="E8" s="24" t="str">
        <x:v>Gates, evidence, risk controls and rollback</x:v>
      </x:c>
      <x:c r="F8" s="24" t="str">
        <x:v>Go / No-Go</x:v>
      </x:c>
      <x:c r="G8" s="24" t="str">
        <x:v>Uncontrolled changes and difficult recovery</x:v>
      </x:c>
      <x:c r="H8" s="24" t="str">
        <x:v>NCD runbook</x:v>
      </x:c>
    </x:row>
    <x:row r="9">
      <x:c r="A9" s="24" t="str">
        <x:v>ITQ Register</x:v>
      </x:c>
      <x:c r="B9" s="24" t="str">
        <x:v>What information or decision is still missing?</x:v>
      </x:c>
      <x:c r="C9" s="24" t="str">
        <x:v>Business Analyst</x:v>
      </x:c>
      <x:c r="D9" s="24" t="str">
        <x:v>Discovery and design</x:v>
      </x:c>
      <x:c r="E9" s="24" t="str">
        <x:v>Assumption management and ownership</x:v>
      </x:c>
      <x:c r="F9" s="24" t="str">
        <x:v>Query closure</x:v>
      </x:c>
      <x:c r="G9" s="24" t="str">
        <x:v>Hidden assumptions become defects</x:v>
      </x:c>
      <x:c r="H9" s="24" t="str">
        <x:v>ITQ workbook</x:v>
      </x:c>
    </x:row>
    <x:row r="10">
      <x:c r="A10" s="24" t="str">
        <x:v>FDS</x:v>
      </x:c>
      <x:c r="B10" s="24" t="str">
        <x:v>How will the approved requirements be implemented and tested?</x:v>
      </x:c>
      <x:c r="C10" s="24" t="str">
        <x:v>Linux Technical Lead</x:v>
      </x:c>
      <x:c r="D10" s="24" t="str">
        <x:v>Design and acceptance</x:v>
      </x:c>
      <x:c r="E10" s="24" t="str">
        <x:v>Traceability from requirement to design and test</x:v>
      </x:c>
      <x:c r="F10" s="24" t="str">
        <x:v>Design approval</x:v>
      </x:c>
      <x:c r="G10" s="24" t="str">
        <x:v>Different people build different solutions</x:v>
      </x:c>
      <x:c r="H10" s="24" t="str">
        <x:v>FDS DOCX/PDF</x:v>
      </x:c>
    </x:row>
    <x:row r="11">
      <x:c r="A11" s="24" t="str">
        <x:v>Validation Evidence</x:v>
      </x:c>
      <x:c r="B11" s="24" t="str">
        <x:v>Did the solution actually meet the acceptance criteria?</x:v>
      </x:c>
      <x:c r="C11" s="24" t="str">
        <x:v>Test Lead / Student</x:v>
      </x:c>
      <x:c r="D11" s="24" t="str">
        <x:v>Testing</x:v>
      </x:c>
      <x:c r="E11" s="24" t="str">
        <x:v>Objective evidence and traceability</x:v>
      </x:c>
      <x:c r="F11" s="24" t="str">
        <x:v>Technical acceptance</x:v>
      </x:c>
      <x:c r="G11" s="24" t="str">
        <x:v>Claims cannot be proven</x:v>
      </x:c>
      <x:c r="H11" s="24" t="str">
        <x:v>NCD validation sheet</x:v>
      </x:c>
    </x:row>
    <x:row r="12">
      <x:c r="A12" s="24" t="str">
        <x:v>Incident Report</x:v>
      </x:c>
      <x:c r="B12" s="24" t="str">
        <x:v>What happened, why, what was done and how do we prevent recurrence?</x:v>
      </x:c>
      <x:c r="C12" s="24" t="str">
        <x:v>Operations / Student</x:v>
      </x:c>
      <x:c r="D12" s="24" t="str">
        <x:v>Incident and closure</x:v>
      </x:c>
      <x:c r="E12" s="24" t="str">
        <x:v>Business communication and continual improvement</x:v>
      </x:c>
      <x:c r="F12" s="24" t="str">
        <x:v>Instructor / Service Owner</x:v>
      </x:c>
      <x:c r="G12" s="24" t="str">
        <x:v>Same problem repeats</x:v>
      </x:c>
      <x:c r="H12" s="24" t="str">
        <x:v>Incident report</x:v>
      </x:c>
    </x:row>
    <x:row r="13">
      <x:c r="A13" s="24" t="str">
        <x:v>Presentation / Handover</x:v>
      </x:c>
      <x:c r="B13" s="24" t="str">
        <x:v>Can the receiving team operate and support the result?</x:v>
      </x:c>
      <x:c r="C13" s="24" t="str">
        <x:v>Student Team</x:v>
      </x:c>
      <x:c r="D13" s="24" t="str">
        <x:v>Project close</x:v>
      </x:c>
      <x:c r="E13" s="24" t="str">
        <x:v>Executive communication and knowledge transfer</x:v>
      </x:c>
      <x:c r="F13" s="24" t="str">
        <x:v>Business acceptance</x:v>
      </x:c>
      <x:c r="G13" s="24" t="str">
        <x:v>Solution cannot be supported</x:v>
      </x:c>
      <x:c r="H13" s="24" t="str">
        <x:v>PowerPoint / handover</x:v>
      </x:c>
    </x:row>
  </x:sheetData>
  <x:mergeCells>
    <x:mergeCell ref="A1:H1"/>
    <x:mergeCell ref="A2:H2"/>
  </x:mergeCells>
  <x:pageMargins left="0.7" right="0.7" top="0.75" bottom="0.75" header="0.3" footer="0.3"/>
</x:worksheet>
</file>