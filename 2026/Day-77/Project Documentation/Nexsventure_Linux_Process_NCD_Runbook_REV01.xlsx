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3dd9f7ee1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CD Overview" sheetId="1" r:id="Rc214252719e44f76"/>
    <x:sheet xmlns:r="http://schemas.openxmlformats.org/officeDocument/2006/relationships" name="Process Flow" sheetId="2" r:id="R7a6b642e983548d2"/>
    <x:sheet xmlns:r="http://schemas.openxmlformats.org/officeDocument/2006/relationships" name="Inventory" sheetId="3" r:id="R5bc0d3402b284b8c"/>
    <x:sheet xmlns:r="http://schemas.openxmlformats.org/officeDocument/2006/relationships" name="Dependencies" sheetId="4" r:id="R8de794a650034feb"/>
    <x:sheet xmlns:r="http://schemas.openxmlformats.org/officeDocument/2006/relationships" name="Implementation Plan" sheetId="5" r:id="Rbdea6ed359be4c4b"/>
    <x:sheet xmlns:r="http://schemas.openxmlformats.org/officeDocument/2006/relationships" name="Validation Evidence" sheetId="6" r:id="R3fad5f83d95e4b22"/>
    <x:sheet xmlns:r="http://schemas.openxmlformats.org/officeDocument/2006/relationships" name="Approvals &amp; Contacts" sheetId="7" r:id="R2301f0b1106b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yyyy-mm-dd hh:mm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12"/>
      <x:color rgb="FF1F1F1F"/>
      <x:name val="Carlito"/>
    </x:font>
    <x:font>
      <x:b/>
      <x:sz val="22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b1b986391426b" /><Relationship Type="http://schemas.openxmlformats.org/officeDocument/2006/relationships/theme" Target="/xl/theme/theme1.xml" Id="Rec512c0ac7234c0c" /><Relationship Type="http://schemas.openxmlformats.org/officeDocument/2006/relationships/sharedStrings" Target="/xl/sharedStrings.xml" Id="Racfb494dd63445bd" /><Relationship Type="http://schemas.openxmlformats.org/officeDocument/2006/relationships/worksheet" Target="/xl/worksheets/sheet1.xml" Id="Rc214252719e44f76" /><Relationship Type="http://schemas.openxmlformats.org/officeDocument/2006/relationships/worksheet" Target="/xl/worksheets/sheet2.xml" Id="R7a6b642e983548d2" /><Relationship Type="http://schemas.openxmlformats.org/officeDocument/2006/relationships/worksheet" Target="/xl/worksheets/sheet3.xml" Id="R5bc0d3402b284b8c" /><Relationship Type="http://schemas.openxmlformats.org/officeDocument/2006/relationships/worksheet" Target="/xl/worksheets/sheet4.xml" Id="R8de794a650034feb" /><Relationship Type="http://schemas.openxmlformats.org/officeDocument/2006/relationships/worksheet" Target="/xl/worksheets/sheet5.xml" Id="Rbdea6ed359be4c4b" /><Relationship Type="http://schemas.openxmlformats.org/officeDocument/2006/relationships/worksheet" Target="/xl/worksheets/sheet6.xml" Id="R3fad5f83d95e4b22" /><Relationship Type="http://schemas.openxmlformats.org/officeDocument/2006/relationships/worksheet" Target="/xl/worksheets/sheet7.xml" Id="R2301f0b1106b49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4" hidden="0" customWidth="1"/>
    <x:col min="4" max="4" width="24" hidden="0" customWidth="1"/>
    <x:col min="5" max="5" width="14" hidden="0" customWidth="1"/>
    <x:col min="6" max="6" width="28" hidden="0" customWidth="1"/>
    <x:col min="7" max="7" width="4" hidden="0" customWidth="1"/>
    <x:col min="8" max="8" width="24" hidden="0" customWidth="1"/>
    <x:col min="9" max="9" width="16" hidden="0" customWidth="1"/>
    <x:col min="10" max="10" width="34" hidden="0" customWidth="1"/>
  </x:cols>
  <x:sheetData>
    <x:row r="1" ht="30" customHeight="1">
      <x:c r="A1" s="5" t="str">
        <x:v>NCD – Implementation, Validation and Rollback Runbook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2" t="str">
        <x:v>Business-controlled change document for the NIT Bank Linux Process Operations Lab.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24" customHeight="1">
      <x:c r="A4" s="18" t="str">
        <x:v>1. Change Metadata</x:v>
      </x:c>
      <x:c r="B4" s="18"/>
      <x:c r="C4" s="18"/>
      <x:c r="D4" s="18"/>
      <x:c r="E4" s="18"/>
      <x:c r="F4" s="18"/>
      <x:c r="G4" s="18"/>
      <x:c r="H4" s="18"/>
      <x:c r="I4" s="18"/>
      <x:c r="J4" s="18"/>
    </x:row>
    <x:row r="5">
      <x:c r="A5" s="25" t="str">
        <x:v>Field</x:v>
      </x:c>
      <x:c r="B5" s="25" t="str">
        <x:v>Value</x:v>
      </x:c>
      <x:c r="C5" s="25" t="str">
        <x:v>Field</x:v>
      </x:c>
      <x:c r="D5" s="25" t="str">
        <x:v>Value</x:v>
      </x:c>
      <x:c r="E5" s="25" t="str">
        <x:v>Field</x:v>
      </x:c>
      <x:c r="F5" s="25" t="str">
        <x:v>Value</x:v>
      </x:c>
      <x:c r="G5" t="str"/>
      <x:c r="H5" t="str"/>
      <x:c r="I5" t="str"/>
      <x:c r="J5" t="str"/>
    </x:row>
    <x:row r="6">
      <x:c r="A6" s="32" t="str">
        <x:v>NCD / Change ID</x:v>
      </x:c>
      <x:c r="B6" s="32" t="str">
        <x:v>NIT-BANK-LPX-001</x:v>
      </x:c>
      <x:c r="C6" s="32" t="str">
        <x:v>Change Status</x:v>
      </x:c>
      <x:c r="D6" s="32" t="str">
        <x:v>Planning</x:v>
      </x:c>
      <x:c r="E6" s="32" t="str">
        <x:v>Risk Rating</x:v>
      </x:c>
      <x:c r="F6" s="32" t="str">
        <x:v>Medium</x:v>
      </x:c>
      <x:c r="G6"/>
      <x:c r="H6"/>
      <x:c r="I6"/>
      <x:c r="J6"/>
    </x:row>
    <x:row r="7">
      <x:c r="A7" s="32" t="str">
        <x:v>Change Title</x:v>
      </x:c>
      <x:c r="B7" s="32" t="str">
        <x:v>Deploy the Linux process-management training project</x:v>
      </x:c>
      <x:c r="C7" s="32" t="str">
        <x:v>Environment</x:v>
      </x:c>
      <x:c r="D7" s="32" t="str">
        <x:v>Classroom / Xen Orchestra</x:v>
      </x:c>
      <x:c r="E7" s="32" t="str">
        <x:v>Change Type</x:v>
      </x:c>
      <x:c r="F7" s="32" t="str">
        <x:v>Normal Training Change</x:v>
      </x:c>
      <x:c r="G7"/>
      <x:c r="H7"/>
      <x:c r="I7"/>
      <x:c r="J7"/>
    </x:row>
    <x:row r="8">
      <x:c r="A8" s="32" t="str">
        <x:v>Planned Date</x:v>
      </x:c>
      <x:c r="B8" s="36" t="n">
        <x:v>46230</x:v>
      </x:c>
      <x:c r="C8" s="32" t="str">
        <x:v>Planned Start</x:v>
      </x:c>
      <x:c r="D8" s="32" t="str">
        <x:v>09:00</x:v>
      </x:c>
      <x:c r="E8" s="32" t="str">
        <x:v>Planned End</x:v>
      </x:c>
      <x:c r="F8" s="32" t="str">
        <x:v>16:00</x:v>
      </x:c>
      <x:c r="G8"/>
      <x:c r="H8"/>
      <x:c r="I8"/>
      <x:c r="J8"/>
    </x:row>
    <x:row r="9">
      <x:c r="A9" s="32" t="str">
        <x:v>Implementer</x:v>
      </x:c>
      <x:c r="B9" s="32" t="str">
        <x:v>Student Team</x:v>
      </x:c>
      <x:c r="C9" s="32" t="str">
        <x:v>Change Manager</x:v>
      </x:c>
      <x:c r="D9" s="32" t="str">
        <x:v>Instructor / Project Manager</x:v>
      </x:c>
      <x:c r="E9" s="32" t="str">
        <x:v>Technical Owner</x:v>
      </x:c>
      <x:c r="F9" s="32" t="str">
        <x:v>Linux Lead Instructor</x:v>
      </x:c>
      <x:c r="G9"/>
      <x:c r="H9"/>
      <x:c r="I9"/>
      <x:c r="J9"/>
    </x:row>
    <x:row r="10">
      <x:c r="A10" s="32" t="str">
        <x:v>Business Owner</x:v>
      </x:c>
      <x:c r="B10" s="32" t="str">
        <x:v>NIT Bank Operations Training</x:v>
      </x:c>
      <x:c r="C10" s="32" t="str">
        <x:v>Primary Platform</x:v>
      </x:c>
      <x:c r="D10" s="32" t="str">
        <x:v>One Rocky Linux VM per student</x:v>
      </x:c>
      <x:c r="E10" s="32" t="str">
        <x:v>Student VM Count</x:v>
      </x:c>
      <x:c r="F10" s="32" t="str">
        <x:v>TBD</x:v>
      </x:c>
      <x:c r="G10"/>
      <x:c r="H10"/>
      <x:c r="I10"/>
      <x:c r="J10"/>
    </x:row>
    <x:row r="11">
      <x:c r="A11" s="32" t="str">
        <x:v>Source Document</x:v>
      </x:c>
      <x:c r="B11" s="32" t="str">
        <x:v>Linux Process Management FDS</x:v>
      </x:c>
      <x:c r="C11" s="32" t="str">
        <x:v>Platform</x:v>
      </x:c>
      <x:c r="D11" s="32" t="str">
        <x:v>Rocky Linux 9 / Xen Orchestra</x:v>
      </x:c>
      <x:c r="E11" s="32" t="str">
        <x:v>Change Window TZ</x:v>
      </x:c>
      <x:c r="F11" s="32" t="str">
        <x:v>America/Chicago</x:v>
      </x:c>
      <x:c r="G11"/>
      <x:c r="H11"/>
      <x:c r="I11"/>
      <x:c r="J11"/>
    </x:row>
    <x:row r="13" ht="24" customHeight="1">
      <x:c r="A13" s="18" t="str">
        <x:v>2. Execution Dashboard</x:v>
      </x:c>
      <x:c r="B13" s="18"/>
      <x:c r="C13" s="18"/>
      <x:c r="D13" s="18"/>
      <x:c r="E13" s="18"/>
      <x:c r="F13" s="18"/>
      <x:c r="G13" s="18"/>
      <x:c r="H13" s="18"/>
      <x:c r="I13" s="18"/>
      <x:c r="J13" s="18"/>
    </x:row>
    <x:row r="14">
      <x:c r="A14" s="25" t="str">
        <x:v>Metric</x:v>
      </x:c>
      <x:c r="B14" s="25" t="str">
        <x:v>Value</x:v>
      </x:c>
      <x:c r="C14" s="25" t="str"/>
      <x:c r="D14" s="25" t="str">
        <x:v>Phase</x:v>
      </x:c>
      <x:c r="E14" s="25" t="str">
        <x:v>Step Count</x:v>
      </x:c>
      <x:c r="F14" s="25" t="str">
        <x:v>Completed</x:v>
      </x:c>
      <x:c r="G14" s="25" t="str"/>
      <x:c r="H14" s="25" t="str">
        <x:v>Control</x:v>
      </x:c>
      <x:c r="I14" s="25" t="str">
        <x:v>Status</x:v>
      </x:c>
      <x:c r="J14" s="25" t="str">
        <x:v>Comments / Evidence</x:v>
      </x:c>
    </x:row>
    <x:row r="15">
      <x:c r="A15" s="32" t="str">
        <x:v>Total Runbook Steps</x:v>
      </x:c>
      <x:c r="B15" s="32" t="n">
        <x:f>COUNTA('Implementation Plan'!$C$7:$C$200)</x:f>
        <x:v>62</x:v>
      </x:c>
      <x:c r="C15" s="32"/>
      <x:c r="D15" s="32" t="str">
        <x:v>A. Pre-Implementation</x:v>
      </x:c>
      <x:c r="E15" s="32" t="n">
        <x:f>COUNTIF('Implementation Plan'!$B$7:$B$200,"A. Pre-Implementation")</x:f>
        <x:v>11</x:v>
      </x:c>
      <x:c r="F15" s="32" t="n">
        <x:f>COUNTIFS('Implementation Plan'!$B$7:$B$200,"A. Pre-Implementation",'Implementation Plan'!$J$7:$J$200,"Complete")</x:f>
        <x:v>0</x:v>
      </x:c>
      <x:c r="G15" s="32"/>
      <x:c r="H15" s="32" t="str">
        <x:v>Change approved</x:v>
      </x:c>
      <x:c r="I15" s="32" t="str">
        <x:v>Pending</x:v>
      </x:c>
      <x:c r="J15" s="32"/>
    </x:row>
    <x:row r="16">
      <x:c r="A16" s="32" t="str">
        <x:v>Completed</x:v>
      </x:c>
      <x:c r="B16" s="32" t="n">
        <x:f>COUNTIF('Implementation Plan'!$J$7:$J$200,"Complete")</x:f>
        <x:v>0</x:v>
      </x:c>
      <x:c r="C16" s="32"/>
      <x:c r="D16" s="32" t="str">
        <x:v>B. Implementation</x:v>
      </x:c>
      <x:c r="E16" s="32" t="n">
        <x:f>COUNTIF('Implementation Plan'!$B$7:$B$200,"B. Implementation")</x:f>
        <x:v>30</x:v>
      </x:c>
      <x:c r="F16" s="32" t="n">
        <x:f>COUNTIFS('Implementation Plan'!$B$7:$B$200,"B. Implementation",'Implementation Plan'!$J$7:$J$200,"Complete")</x:f>
        <x:v>0</x:v>
      </x:c>
      <x:c r="G16" s="32"/>
      <x:c r="H16" s="32" t="str">
        <x:v>Snapshot completed</x:v>
      </x:c>
      <x:c r="I16" s="32" t="str">
        <x:v>Pending</x:v>
      </x:c>
      <x:c r="J16" s="32"/>
    </x:row>
    <x:row r="17">
      <x:c r="A17" s="32" t="str">
        <x:v>In Progress</x:v>
      </x:c>
      <x:c r="B17" s="32" t="n">
        <x:f>COUNTIF('Implementation Plan'!$J$7:$J$200,"In Progress")</x:f>
        <x:v>0</x:v>
      </x:c>
      <x:c r="C17" s="32"/>
      <x:c r="D17" s="32" t="str">
        <x:v>C. Post-Implementation Validation</x:v>
      </x:c>
      <x:c r="E17" s="32" t="n">
        <x:f>COUNTIF('Implementation Plan'!$B$7:$B$200,"C. Post-Implementation Validation")</x:f>
        <x:v>12</x:v>
      </x:c>
      <x:c r="F17" s="32" t="n">
        <x:f>COUNTIFS('Implementation Plan'!$B$7:$B$200,"C. Post-Implementation Validation",'Implementation Plan'!$J$7:$J$200,"Complete")</x:f>
        <x:v>0</x:v>
      </x:c>
      <x:c r="G17" s="32"/>
      <x:c r="H17" s="32" t="str">
        <x:v>Root access and packages ready</x:v>
      </x:c>
      <x:c r="I17" s="32" t="str">
        <x:v>Pending</x:v>
      </x:c>
      <x:c r="J17" s="32"/>
    </x:row>
    <x:row r="18">
      <x:c r="A18" s="32" t="str">
        <x:v>Failed</x:v>
      </x:c>
      <x:c r="B18" s="32" t="n">
        <x:f>COUNTIF('Implementation Plan'!$J$7:$J$200,"Failed")</x:f>
        <x:v>0</x:v>
      </x:c>
      <x:c r="C18" s="32"/>
      <x:c r="D18" s="32" t="str">
        <x:v>D. Rollback</x:v>
      </x:c>
      <x:c r="E18" s="32" t="n">
        <x:f>COUNTIF('Implementation Plan'!$B$7:$B$200,"D. Rollback")</x:f>
        <x:v>9</x:v>
      </x:c>
      <x:c r="F18" s="32" t="n">
        <x:f>COUNTIFS('Implementation Plan'!$B$7:$B$200,"D. Rollback",'Implementation Plan'!$J$7:$J$200,"Complete")</x:f>
        <x:v>0</x:v>
      </x:c>
      <x:c r="G18" s="32"/>
      <x:c r="H18" s="32" t="str">
        <x:v>Rollback owner available</x:v>
      </x:c>
      <x:c r="I18" s="32" t="str">
        <x:v>Pending</x:v>
      </x:c>
      <x:c r="J18" s="32"/>
    </x:row>
    <x:row r="19">
      <x:c r="A19" s="32" t="str">
        <x:v>Rolled Back</x:v>
      </x:c>
      <x:c r="B19" s="32" t="n">
        <x:f>COUNTIF('Implementation Plan'!$J$7:$J$200,"Rolled Back")</x:f>
        <x:v>0</x:v>
      </x:c>
      <x:c r="C19" s="32"/>
      <x:c r="D19" s="32" t="str">
        <x:v>Go / No-Go Indicator</x:v>
      </x:c>
      <x:c r="E19" s="32" t="str">
        <x:f>IF(B18&gt;0,"NO-GO / ASSESS","GO")</x:f>
        <x:v>GO</x:v>
      </x:c>
      <x:c r="F19" s="32" t="str">
        <x:f>IF(B18&gt;0,"Project Manager Decision Required","No failed steps recorded")</x:f>
        <x:v>No failed steps recorded</x:v>
      </x:c>
      <x:c r="G19" s="32"/>
      <x:c r="H19" s="32" t="str">
        <x:v>Go / No-Go authorization</x:v>
      </x:c>
      <x:c r="I19" s="32" t="str">
        <x:v>Pending</x:v>
      </x:c>
      <x:c r="J19" s="32"/>
    </x:row>
    <x:row r="20">
      <x:c r="A20" s="32" t="str">
        <x:v>Overall Completion</x:v>
      </x:c>
      <x:c r="B20" s="38" t="n">
        <x:f>IFERROR(B16/B15,0)</x:f>
        <x:v>0</x:v>
      </x:c>
      <x:c r="C20" s="32"/>
      <x:c r="D20" s="32"/>
      <x:c r="E20" s="32"/>
      <x:c r="F20" s="32"/>
      <x:c r="G20" s="32"/>
      <x:c r="H20" s="32"/>
      <x:c r="I20" s="32"/>
      <x:c r="J20" s="32"/>
    </x:row>
    <x:row r="22" ht="24" customHeight="1">
      <x:c r="A22" s="18" t="str">
        <x:v>3. Scope, Business Impact and Backout Criteria</x:v>
      </x:c>
      <x:c r="B22" s="18"/>
      <x:c r="C22" s="18"/>
      <x:c r="D22" s="18"/>
      <x:c r="E22" s="18"/>
      <x:c r="F22" s="18"/>
      <x:c r="G22" s="18"/>
      <x:c r="H22" s="18"/>
      <x:c r="I22" s="18"/>
      <x:c r="J22" s="18"/>
    </x:row>
    <x:row r="23">
      <x:c r="A23" s="25" t="str">
        <x:v>Item</x:v>
      </x:c>
      <x:c r="B23" s="25" t="str">
        <x:v>Details</x:v>
      </x:c>
      <x:c r="C23" s="25" t="str"/>
      <x:c r="D23" s="25" t="str"/>
      <x:c r="E23" s="25" t="str"/>
      <x:c r="F23" s="25" t="str"/>
      <x:c r="G23" s="25" t="str"/>
      <x:c r="H23" s="25" t="str"/>
      <x:c r="I23" s="25" t="str"/>
      <x:c r="J23" s="25" t="str"/>
    </x:row>
    <x:row r="24">
      <x:c r="A24" s="32" t="str">
        <x:v>In Scope</x:v>
      </x:c>
      <x:c r="B24" s="32" t="str">
        <x:v>Create and test the report-generator, CPU worker, parent-child and zombie demonstrations; use ps/top/pgrep/pstree, signals, nice/renice, nohup, /proc and systemd; complete incident recovery and evidence.</x:v>
      </x:c>
      <x:c r="C24" s="32"/>
      <x:c r="D24" s="32"/>
      <x:c r="E24" s="32"/>
      <x:c r="F24" s="32"/>
      <x:c r="G24" s="32"/>
      <x:c r="H24" s="32"/>
      <x:c r="I24" s="32"/>
      <x:c r="J24" s="32"/>
    </x:row>
    <x:row r="25">
      <x:c r="A25" s="32" t="str">
        <x:v>Out of Scope</x:v>
      </x:c>
      <x:c r="B25" s="32" t="str">
        <x:v>Production banking applications, real customer data, internet-facing services, high availability, enterprise monitoring integration and changes to shared infrastructure.</x:v>
      </x:c>
      <x:c r="C25" s="32"/>
      <x:c r="D25" s="32"/>
      <x:c r="E25" s="32"/>
      <x:c r="F25" s="32"/>
      <x:c r="G25" s="32"/>
      <x:c r="H25" s="32"/>
      <x:c r="I25" s="32"/>
      <x:c r="J25" s="32"/>
    </x:row>
    <x:row r="26">
      <x:c r="A26" s="32" t="str">
        <x:v>Expected Business Impact</x:v>
      </x:c>
      <x:c r="B26" s="32" t="str">
        <x:v>Students learn how a controlled technology change is planned, approved, executed, validated and closed. Each student works only inside an assigned training VM.</x:v>
      </x:c>
      <x:c r="C26" s="32"/>
      <x:c r="D26" s="32"/>
      <x:c r="E26" s="32"/>
      <x:c r="F26" s="32"/>
      <x:c r="G26" s="32"/>
      <x:c r="H26" s="32"/>
      <x:c r="I26" s="32"/>
      <x:c r="J26" s="32"/>
    </x:row>
    <x:row r="27">
      <x:c r="A27" s="32" t="str">
        <x:v>Rollback Triggers</x:v>
      </x:c>
      <x:c r="B27" s="32" t="str">
        <x:v>Assigned VM becomes unstable; CPU worker cannot be controlled; systemd service repeatedly fails; required validation cannot be completed; unauthorized scope change; loss of SSH without console recovery.</x:v>
      </x:c>
      <x:c r="C27" s="32"/>
      <x:c r="D27" s="32"/>
      <x:c r="E27" s="32"/>
      <x:c r="F27" s="32"/>
      <x:c r="G27" s="32"/>
      <x:c r="H27" s="32"/>
      <x:c r="I27" s="32"/>
      <x:c r="J27" s="32"/>
    </x:row>
    <x:row r="28">
      <x:c r="A28" s="32" t="str">
        <x:v>Preferred Backout Method</x:v>
      </x:c>
      <x:c r="B28" s="32" t="str">
        <x:v>Stop lab processes, disable/remove the report-generator service, restore configuration files, and revert the Xen Orchestra pre-change snapshot when required.</x:v>
      </x:c>
      <x:c r="C28" s="32"/>
      <x:c r="D28" s="32"/>
      <x:c r="E28" s="32"/>
      <x:c r="F28" s="32"/>
      <x:c r="G28" s="32"/>
      <x:c r="H28" s="32"/>
      <x:c r="I28" s="32"/>
      <x:c r="J28" s="32"/>
    </x:row>
    <x:row r="30" ht="24" customHeight="1">
      <x:c r="A30" s="18" t="str">
        <x:v>4. Student Usage Instructions</x:v>
      </x:c>
      <x:c r="B30" s="18"/>
      <x:c r="C30" s="18"/>
      <x:c r="D30" s="18"/>
      <x:c r="E30" s="18"/>
      <x:c r="F30" s="18"/>
      <x:c r="G30" s="18"/>
      <x:c r="H30" s="18"/>
      <x:c r="I30" s="18"/>
      <x:c r="J30" s="18"/>
    </x:row>
    <x:row r="31">
      <x:c r="A31" s="32" t="n">
        <x:v>1</x:v>
      </x:c>
      <x:c r="B31" s="32" t="str">
        <x:v>Work from the approved business documents before running technical commands.</x:v>
      </x:c>
      <x:c r="C31" s="32"/>
      <x:c r="D31" s="32"/>
      <x:c r="E31" s="32"/>
      <x:c r="F31" s="32"/>
      <x:c r="G31" s="32"/>
      <x:c r="H31" s="32"/>
      <x:c r="I31" s="32"/>
      <x:c r="J31" s="32"/>
    </x:row>
    <x:row r="32">
      <x:c r="A32" s="32" t="n">
        <x:v>2</x:v>
      </x:c>
      <x:c r="B32" s="32" t="str">
        <x:v>Confirm that `whoami` returns root and that the VM is the student's assigned Xen Orchestra VM.</x:v>
      </x:c>
      <x:c r="C32" s="32"/>
      <x:c r="D32" s="32"/>
      <x:c r="E32" s="32"/>
      <x:c r="F32" s="32"/>
      <x:c r="G32" s="32"/>
      <x:c r="H32" s="32"/>
      <x:c r="I32" s="32"/>
      <x:c r="J32" s="32"/>
    </x:row>
    <x:row r="33">
      <x:c r="A33" s="32" t="n">
        <x:v>3</x:v>
      </x:c>
      <x:c r="B33" s="32" t="str">
        <x:v>Record screenshots, command output, ticket references or log excerpts as evidence.</x:v>
      </x:c>
      <x:c r="C33" s="32"/>
      <x:c r="D33" s="32"/>
      <x:c r="E33" s="32"/>
      <x:c r="F33" s="32"/>
      <x:c r="G33" s="32"/>
      <x:c r="H33" s="32"/>
      <x:c r="I33" s="32"/>
      <x:c r="J33" s="32"/>
    </x:row>
    <x:row r="34">
      <x:c r="A34" s="32" t="n">
        <x:v>4</x:v>
      </x:c>
      <x:c r="B34" s="32" t="str">
        <x:v>Update every runbook step to Complete, Failed, Skipped or Rolled Back.</x:v>
      </x:c>
      <x:c r="C34" s="32"/>
      <x:c r="D34" s="32"/>
      <x:c r="E34" s="32"/>
      <x:c r="F34" s="32"/>
      <x:c r="G34" s="32"/>
      <x:c r="H34" s="32"/>
      <x:c r="I34" s="32"/>
      <x:c r="J34" s="32"/>
    </x:row>
    <x:row r="35">
      <x:c r="A35" s="32" t="n">
        <x:v>5</x:v>
      </x:c>
      <x:c r="B35" s="32" t="str">
        <x:v>A failed mandatory gate is a stop point and must be escalated to the instructor/project manager.</x:v>
      </x:c>
      <x:c r="C35" s="32"/>
      <x:c r="D35" s="32"/>
      <x:c r="E35" s="32"/>
      <x:c r="F35" s="32"/>
      <x:c r="G35" s="32"/>
      <x:c r="H35" s="32"/>
      <x:c r="I35" s="32"/>
      <x:c r="J35" s="32"/>
    </x:row>
    <x:row r="36">
      <x:c r="A36" s="32" t="n">
        <x:v>6</x:v>
      </x:c>
      <x:c r="B36" s="32" t="str">
        <x:v>Do not use real bank information, customer data or production credentials in this training project.</x:v>
      </x:c>
      <x:c r="C36" s="32"/>
      <x:c r="D36" s="32"/>
      <x:c r="E36" s="32"/>
      <x:c r="F36" s="32"/>
      <x:c r="G36" s="32"/>
      <x:c r="H36" s="32"/>
      <x:c r="I36" s="32"/>
      <x:c r="J36" s="32"/>
    </x:row>
  </x:sheetData>
  <x:mergeCells>
    <x:mergeCell ref="A1:J1"/>
    <x:mergeCell ref="A2:J2"/>
    <x:mergeCell ref="A4:J4"/>
    <x:mergeCell ref="A13:J13"/>
    <x:mergeCell ref="A22:J22"/>
    <x:mergeCell ref="B24:J24"/>
    <x:mergeCell ref="B25:J25"/>
    <x:mergeCell ref="B26:J26"/>
    <x:mergeCell ref="B27:J27"/>
    <x:mergeCell ref="B28:J28"/>
    <x:mergeCell ref="A30:J30"/>
    <x:mergeCell ref="B31:J31"/>
    <x:mergeCell ref="B32:J32"/>
    <x:mergeCell ref="B33:J33"/>
    <x:mergeCell ref="B34:J34"/>
    <x:mergeCell ref="B35:J35"/>
    <x:mergeCell ref="B36:J36"/>
  </x:mergeCells>
  <x:conditionalFormatting sqref="I15:I19">
    <x:cfRule type="expression" dxfId="0" priority="1">
      <x:formula>I15="Complete"</x:formula>
    </x:cfRule>
    <x:cfRule type="expression" dxfId="1" priority="2">
      <x:formula>I15="In Progress"</x:formula>
    </x:cfRule>
    <x:cfRule type="expression" dxfId="2" priority="3">
      <x:formula>I15="Failed"</x:formula>
    </x:cfRule>
    <x:cfRule type="expression" dxfId="3" priority="4">
      <x:formula>I15="Approved"</x:formula>
    </x:cfRule>
    <x:cfRule type="expression" dxfId="4" priority="5">
      <x:formula>I15="Pending"</x:formula>
    </x:cfRule>
  </x:conditionalFormatting>
  <x:dataValidations count="1">
    <x:dataValidation type="list" sqref="I15:I19">
      <x:formula1>"Pending,Approved,Rejected,Not Applicable"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0" customHeight="1">
      <x:c r="A1" s="5" t="str">
        <x:v>NIT Bank Linux Process Project – Business and Technical Flow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2" t="str">
        <x:v>From business request to controlled implementation, validation, acceptance and closure.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44" t="str">
        <x:v>1. Business Need
Train junior Linux operations staff</x:v>
      </x:c>
      <x:c r="B4" s="44"/>
      <x:c r="D4" s="54" t="str">
        <x:v>2. CTR &amp; PMP
Define scope, cost, time and resources</x:v>
      </x:c>
      <x:c r="E4" s="54"/>
      <x:c r="G4" s="54" t="str">
        <x:v>3. NCD &amp; ITQ
Approve change and resolve open inputs</x:v>
      </x:c>
      <x:c r="H4" s="54"/>
      <x:c r="J4" s="64" t="str">
        <x:v>4. Build
Create scripts and process scenarios</x:v>
      </x:c>
      <x:c r="K4" s="64"/>
    </x:row>
    <x:row r="5">
      <x:c r="A5" s="44"/>
      <x:c r="B5" s="44"/>
      <x:c r="C5" s="82" t="str">
        <x:v>→</x:v>
      </x:c>
      <x:c r="D5" s="54"/>
      <x:c r="E5" s="54"/>
      <x:c r="F5" s="82" t="str">
        <x:v>→</x:v>
      </x:c>
      <x:c r="G5" s="54"/>
      <x:c r="H5" s="54"/>
      <x:c r="I5" s="82" t="str">
        <x:v>→</x:v>
      </x:c>
      <x:c r="J5" s="64"/>
      <x:c r="K5" s="64"/>
    </x:row>
    <x:row r="6">
      <x:c r="A6" s="44"/>
      <x:c r="B6" s="44"/>
      <x:c r="D6" s="54"/>
      <x:c r="E6" s="54"/>
      <x:c r="G6" s="54"/>
      <x:c r="H6" s="54"/>
      <x:c r="J6" s="64"/>
      <x:c r="K6" s="64"/>
    </x:row>
    <x:row r="7">
      <x:c r="A7" s="44"/>
      <x:c r="B7" s="44"/>
      <x:c r="D7" s="54"/>
      <x:c r="E7" s="54"/>
      <x:c r="G7" s="54"/>
      <x:c r="H7" s="54"/>
      <x:c r="J7" s="64"/>
      <x:c r="K7" s="64"/>
    </x:row>
    <x:row r="9">
      <x:c r="A9" s="82" t="str">
        <x:v>↑</x:v>
      </x:c>
      <x:c r="K9" s="82" t="str">
        <x:v>↓</x:v>
      </x:c>
    </x:row>
    <x:row r="11">
      <x:c r="A11" s="44" t="str">
        <x:v>8. Handover &amp; Closure
Lessons learned and business value</x:v>
      </x:c>
      <x:c r="B11" s="44"/>
      <x:c r="D11" s="54" t="str">
        <x:v>7. Validation
Evidence, acceptance criteria and sign-off</x:v>
      </x:c>
      <x:c r="E11" s="54"/>
      <x:c r="G11" s="74" t="str">
        <x:v>6. Incident Simulation
High CPU and failed service</x:v>
      </x:c>
      <x:c r="H11" s="74"/>
      <x:c r="J11" s="64" t="str">
        <x:v>5. Test
Signals, priorities, /proc, zombie, systemd</x:v>
      </x:c>
      <x:c r="K11" s="64"/>
    </x:row>
    <x:row r="12">
      <x:c r="A12" s="44"/>
      <x:c r="B12" s="44"/>
      <x:c r="C12" s="82" t="str">
        <x:v>←</x:v>
      </x:c>
      <x:c r="D12" s="54"/>
      <x:c r="E12" s="54"/>
      <x:c r="F12" s="82" t="str">
        <x:v>←</x:v>
      </x:c>
      <x:c r="G12" s="74"/>
      <x:c r="H12" s="74"/>
      <x:c r="I12" s="82" t="str">
        <x:v>←</x:v>
      </x:c>
      <x:c r="J12" s="64"/>
      <x:c r="K12" s="64"/>
    </x:row>
    <x:row r="13">
      <x:c r="A13" s="44"/>
      <x:c r="B13" s="44"/>
      <x:c r="D13" s="54"/>
      <x:c r="E13" s="54"/>
      <x:c r="G13" s="74"/>
      <x:c r="H13" s="74"/>
      <x:c r="J13" s="64"/>
      <x:c r="K13" s="64"/>
    </x:row>
    <x:row r="14">
      <x:c r="A14" s="44"/>
      <x:c r="B14" s="44"/>
      <x:c r="D14" s="54"/>
      <x:c r="E14" s="54"/>
      <x:c r="G14" s="74"/>
      <x:c r="H14" s="74"/>
      <x:c r="J14" s="64"/>
      <x:c r="K14" s="64"/>
    </x:row>
    <x:row r="17" ht="24" customHeight="1">
      <x:c r="A17" s="18" t="str">
        <x:v>Business Controls Across Every Stage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</x:row>
    <x:row r="18">
      <x:c r="A18" s="25" t="str">
        <x:v>Scope Control</x:v>
      </x:c>
      <x:c r="B18" s="25" t="str">
        <x:v>Change Approval</x:v>
      </x:c>
      <x:c r="C18" s="25" t="str">
        <x:v>Risk Management</x:v>
      </x:c>
      <x:c r="D18" s="25" t="str">
        <x:v>Resource Planning</x:v>
      </x:c>
      <x:c r="E18" s="25" t="str">
        <x:v>Document Control</x:v>
      </x:c>
      <x:c r="F18" s="25" t="str">
        <x:v>Quality / Testing</x:v>
      </x:c>
      <x:c r="G18" s="25" t="str">
        <x:v>Evidence</x:v>
      </x:c>
      <x:c r="H18" s="25" t="str">
        <x:v>Acceptance</x:v>
      </x:c>
      <x:c r="I18" s="25" t="str">
        <x:v>Cost Awareness</x:v>
      </x:c>
      <x:c r="J18" s="25" t="str">
        <x:v>Schedule Tracking</x:v>
      </x:c>
      <x:c r="K18" s="25" t="str">
        <x:v>Rollback Readiness</x:v>
      </x:c>
      <x:c r="L18" s="25" t="str">
        <x:v>Lessons Learned</x:v>
      </x:c>
    </x:row>
    <x:row r="19">
      <x:c r="A19" s="88" t="str">
        <x:v>CTR</x:v>
      </x:c>
      <x:c r="B19" s="88" t="str">
        <x:v>NCD</x:v>
      </x:c>
      <x:c r="C19" s="88" t="str">
        <x:v>Risk Register</x:v>
      </x:c>
      <x:c r="D19" s="88" t="str">
        <x:v>PMP</x:v>
      </x:c>
      <x:c r="E19" s="88" t="str">
        <x:v>MDL / Revision</x:v>
      </x:c>
      <x:c r="F19" s="88" t="str">
        <x:v>Validation Plan</x:v>
      </x:c>
      <x:c r="G19" s="88" t="str">
        <x:v>Screenshots / Logs</x:v>
      </x:c>
      <x:c r="H19" s="88" t="str">
        <x:v>Sign-off</x:v>
      </x:c>
      <x:c r="I19" s="88" t="str">
        <x:v>Cost Model</x:v>
      </x:c>
      <x:c r="J19" s="88" t="str">
        <x:v>Master Schedule</x:v>
      </x:c>
      <x:c r="K19" s="88" t="str">
        <x:v>Snapshot / Cleanup</x:v>
      </x:c>
      <x:c r="L19" s="88" t="str">
        <x:v>Closure Report</x:v>
      </x:c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</x:row>
  </x:sheetData>
  <x:mergeCells>
    <x:mergeCell ref="A1:L1"/>
    <x:mergeCell ref="A2:L2"/>
    <x:mergeCell ref="A4:B7"/>
    <x:mergeCell ref="D4:E7"/>
    <x:mergeCell ref="G4:H7"/>
    <x:mergeCell ref="J4:K7"/>
    <x:mergeCell ref="J11:K14"/>
    <x:mergeCell ref="G11:H14"/>
    <x:mergeCell ref="D11:E14"/>
    <x:mergeCell ref="A11:B14"/>
    <x:mergeCell ref="A17:L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0" hidden="0" customWidth="1"/>
    <x:col min="4" max="4" width="20" hidden="0" customWidth="1"/>
    <x:col min="5" max="5" width="16" hidden="0" customWidth="1"/>
    <x:col min="6" max="6" width="18" hidden="0" customWidth="1"/>
    <x:col min="7" max="7" width="8" hidden="0" customWidth="1"/>
    <x:col min="8" max="8" width="9" hidden="0" customWidth="1"/>
    <x:col min="9" max="9" width="9" hidden="0" customWidth="1"/>
    <x:col min="10" max="10" width="11" hidden="0" customWidth="1"/>
    <x:col min="11" max="11" width="18" hidden="0" customWidth="1"/>
    <x:col min="12" max="12" width="20" hidden="0" customWidth="1"/>
    <x:col min="13" max="13" width="26" hidden="0" customWidth="1"/>
    <x:col min="14" max="14" width="16" hidden="0" customWidth="1"/>
    <x:col min="15" max="15" width="12" hidden="0" customWidth="1"/>
    <x:col min="16" max="16" width="14" hidden="0" customWidth="1"/>
    <x:col min="17" max="17" width="16" hidden="0" customWidth="1"/>
    <x:col min="18" max="18" width="34" hidden="0" customWidth="1"/>
  </x:cols>
  <x:sheetData>
    <x:row r="1" ht="30" customHeight="1">
      <x:c r="A1" s="5" t="str">
        <x:v>VM, Process and Configuration Inventory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8" customHeight="1">
      <x:c r="A2" s="12" t="str">
        <x:v>Complete before implementation and update after final validation.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4">
      <x:c r="A4" s="25" t="str">
        <x:v>Record ID</x:v>
      </x:c>
      <x:c r="B4" s="25" t="str">
        <x:v>Business Role</x:v>
      </x:c>
      <x:c r="C4" s="25" t="str">
        <x:v>Hostname</x:v>
      </x:c>
      <x:c r="D4" s="25" t="str">
        <x:v>Student / Owner</x:v>
      </x:c>
      <x:c r="E4" s="25" t="str">
        <x:v>IP Address</x:v>
      </x:c>
      <x:c r="F4" s="25" t="str">
        <x:v>OS / Version</x:v>
      </x:c>
      <x:c r="G4" s="25" t="str">
        <x:v>vCPU</x:v>
      </x:c>
      <x:c r="H4" s="25" t="str">
        <x:v>RAM (GB)</x:v>
      </x:c>
      <x:c r="I4" s="25" t="str">
        <x:v>Disk (GB)</x:v>
      </x:c>
      <x:c r="J4" s="25" t="str">
        <x:v>Root Access</x:v>
      </x:c>
      <x:c r="K4" s="25" t="str">
        <x:v>Snapshot ID</x:v>
      </x:c>
      <x:c r="L4" s="25" t="str">
        <x:v>Project Directory</x:v>
      </x:c>
      <x:c r="M4" s="25" t="str">
        <x:v>Service Name</x:v>
      </x:c>
      <x:c r="N4" s="25" t="str">
        <x:v>Service Account</x:v>
      </x:c>
      <x:c r="O4" s="25" t="str">
        <x:v>Main PID</x:v>
      </x:c>
      <x:c r="P4" s="25" t="str">
        <x:v>Status</x:v>
      </x:c>
      <x:c r="Q4" s="25" t="str">
        <x:v>Evidence Ref</x:v>
      </x:c>
      <x:c r="R4" s="25" t="str">
        <x:v>Notes</x:v>
      </x:c>
    </x:row>
    <x:row r="5">
      <x:c r="A5" s="32" t="str">
        <x:v>PLT-01</x:v>
      </x:c>
      <x:c r="B5" s="32" t="str">
        <x:v>Xen Orchestra Platform</x:v>
      </x:c>
      <x:c r="C5" s="32" t="str">
        <x:v>nit-xcp01</x:v>
      </x:c>
      <x:c r="D5" s="32" t="str">
        <x:v>Lab Administrator</x:v>
      </x:c>
      <x:c r="E5" s="32" t="str">
        <x:v>192.168.1.x</x:v>
      </x:c>
      <x:c r="F5" s="32" t="str">
        <x:v>XCP-ng / XO</x:v>
      </x:c>
      <x:c r="G5" s="32"/>
      <x:c r="H5" s="32"/>
      <x:c r="I5" s="32"/>
      <x:c r="J5" s="32" t="str">
        <x:v>Admin</x:v>
      </x:c>
      <x:c r="K5" s="32" t="str">
        <x:v>TBD</x:v>
      </x:c>
      <x:c r="L5" s="32" t="str">
        <x:v>N/A</x:v>
      </x:c>
      <x:c r="M5" s="32" t="str">
        <x:v>N/A</x:v>
      </x:c>
      <x:c r="N5" s="32" t="str">
        <x:v>N/A</x:v>
      </x:c>
      <x:c r="O5" s="32"/>
      <x:c r="P5" s="32" t="str">
        <x:v>Ready</x:v>
      </x:c>
      <x:c r="Q5" s="32"/>
      <x:c r="R5" s="32" t="str">
        <x:v>Shared hypervisor; students must not modify other VMs.</x:v>
      </x:c>
    </x:row>
    <x:row r="6">
      <x:c r="A6" s="32" t="str">
        <x:v>VM-01</x:v>
      </x:c>
      <x:c r="B6" s="32" t="str">
        <x:v>Student Bank Process Lab VM</x:v>
      </x:c>
      <x:c r="C6" s="32" t="str">
        <x:v>lab-process-01</x:v>
      </x:c>
      <x:c r="D6" s="32"/>
      <x:c r="E6" s="32"/>
      <x:c r="F6" s="32" t="str">
        <x:v>Rocky Linux 9</x:v>
      </x:c>
      <x:c r="G6" s="32" t="n">
        <x:v>1</x:v>
      </x:c>
      <x:c r="H6" s="32" t="n">
        <x:v>1</x:v>
      </x:c>
      <x:c r="I6" s="32" t="n">
        <x:v>20</x:v>
      </x:c>
      <x:c r="J6" s="32" t="str">
        <x:v>Yes</x:v>
      </x:c>
      <x:c r="K6" s="32"/>
      <x:c r="L6" s="32" t="str">
        <x:v>/opt/process-lab</x:v>
      </x:c>
      <x:c r="M6" s="32" t="str">
        <x:v>report-generator.service</x:v>
      </x:c>
      <x:c r="N6" s="32" t="str">
        <x:v>reportsvc</x:v>
      </x:c>
      <x:c r="O6" s="32"/>
      <x:c r="P6" s="32" t="str">
        <x:v>Planned</x:v>
      </x:c>
      <x:c r="Q6" s="32"/>
      <x:c r="R6" s="32" t="str">
        <x:v>One assigned VM per student; replace values before execution.</x:v>
      </x:c>
    </x:row>
    <x:row r="7">
      <x:c r="A7" s="32" t="str">
        <x:v>VM-02</x:v>
      </x:c>
      <x:c r="B7" s="32" t="str">
        <x:v>Student Bank Process Lab VM</x:v>
      </x:c>
      <x:c r="C7" s="32" t="str">
        <x:v>lab-process-02</x:v>
      </x:c>
      <x:c r="D7" s="32"/>
      <x:c r="E7" s="32"/>
      <x:c r="F7" s="32" t="str">
        <x:v>Rocky Linux 9</x:v>
      </x:c>
      <x:c r="G7" s="32" t="n">
        <x:v>1</x:v>
      </x:c>
      <x:c r="H7" s="32" t="n">
        <x:v>1</x:v>
      </x:c>
      <x:c r="I7" s="32" t="n">
        <x:v>20</x:v>
      </x:c>
      <x:c r="J7" s="32" t="str">
        <x:v>Yes</x:v>
      </x:c>
      <x:c r="K7" s="32"/>
      <x:c r="L7" s="32" t="str">
        <x:v>/opt/process-lab</x:v>
      </x:c>
      <x:c r="M7" s="32" t="str">
        <x:v>report-generator.service</x:v>
      </x:c>
      <x:c r="N7" s="32" t="str">
        <x:v>reportsvc</x:v>
      </x:c>
      <x:c r="O7" s="32"/>
      <x:c r="P7" s="32" t="str">
        <x:v>Planned</x:v>
      </x:c>
      <x:c r="Q7" s="32"/>
      <x:c r="R7" s="32" t="str">
        <x:v>One assigned VM per student; replace values before execution.</x:v>
      </x:c>
    </x:row>
    <x:row r="8">
      <x:c r="A8" s="32" t="str">
        <x:v>VM-03</x:v>
      </x:c>
      <x:c r="B8" s="32" t="str">
        <x:v>Student Bank Process Lab VM</x:v>
      </x:c>
      <x:c r="C8" s="32" t="str">
        <x:v>lab-process-03</x:v>
      </x:c>
      <x:c r="D8" s="32"/>
      <x:c r="E8" s="32"/>
      <x:c r="F8" s="32" t="str">
        <x:v>Rocky Linux 9</x:v>
      </x:c>
      <x:c r="G8" s="32" t="n">
        <x:v>1</x:v>
      </x:c>
      <x:c r="H8" s="32" t="n">
        <x:v>1</x:v>
      </x:c>
      <x:c r="I8" s="32" t="n">
        <x:v>20</x:v>
      </x:c>
      <x:c r="J8" s="32" t="str">
        <x:v>Yes</x:v>
      </x:c>
      <x:c r="K8" s="32"/>
      <x:c r="L8" s="32" t="str">
        <x:v>/opt/process-lab</x:v>
      </x:c>
      <x:c r="M8" s="32" t="str">
        <x:v>report-generator.service</x:v>
      </x:c>
      <x:c r="N8" s="32" t="str">
        <x:v>reportsvc</x:v>
      </x:c>
      <x:c r="O8" s="32"/>
      <x:c r="P8" s="32" t="str">
        <x:v>Planned</x:v>
      </x:c>
      <x:c r="Q8" s="32"/>
      <x:c r="R8" s="32" t="str">
        <x:v>One assigned VM per student; replace values before execution.</x:v>
      </x:c>
    </x:row>
    <x:row r="9">
      <x:c r="A9" s="32" t="str">
        <x:v>VM-04</x:v>
      </x:c>
      <x:c r="B9" s="32" t="str">
        <x:v>Student Bank Process Lab VM</x:v>
      </x:c>
      <x:c r="C9" s="32" t="str">
        <x:v>lab-process-04</x:v>
      </x:c>
      <x:c r="D9" s="32"/>
      <x:c r="E9" s="32"/>
      <x:c r="F9" s="32" t="str">
        <x:v>Rocky Linux 9</x:v>
      </x:c>
      <x:c r="G9" s="32" t="n">
        <x:v>1</x:v>
      </x:c>
      <x:c r="H9" s="32" t="n">
        <x:v>1</x:v>
      </x:c>
      <x:c r="I9" s="32" t="n">
        <x:v>20</x:v>
      </x:c>
      <x:c r="J9" s="32" t="str">
        <x:v>Yes</x:v>
      </x:c>
      <x:c r="K9" s="32"/>
      <x:c r="L9" s="32" t="str">
        <x:v>/opt/process-lab</x:v>
      </x:c>
      <x:c r="M9" s="32" t="str">
        <x:v>report-generator.service</x:v>
      </x:c>
      <x:c r="N9" s="32" t="str">
        <x:v>reportsvc</x:v>
      </x:c>
      <x:c r="O9" s="32"/>
      <x:c r="P9" s="32" t="str">
        <x:v>Planned</x:v>
      </x:c>
      <x:c r="Q9" s="32"/>
      <x:c r="R9" s="32" t="str">
        <x:v>One assigned VM per student; replace values before execution.</x:v>
      </x:c>
    </x:row>
    <x:row r="10">
      <x:c r="A10" s="32" t="str">
        <x:v>VM-05</x:v>
      </x:c>
      <x:c r="B10" s="32" t="str">
        <x:v>Student Bank Process Lab VM</x:v>
      </x:c>
      <x:c r="C10" s="32" t="str">
        <x:v>lab-process-05</x:v>
      </x:c>
      <x:c r="D10" s="32"/>
      <x:c r="E10" s="32"/>
      <x:c r="F10" s="32" t="str">
        <x:v>Rocky Linux 9</x:v>
      </x:c>
      <x:c r="G10" s="32" t="n">
        <x:v>1</x:v>
      </x:c>
      <x:c r="H10" s="32" t="n">
        <x:v>1</x:v>
      </x:c>
      <x:c r="I10" s="32" t="n">
        <x:v>20</x:v>
      </x:c>
      <x:c r="J10" s="32" t="str">
        <x:v>Yes</x:v>
      </x:c>
      <x:c r="K10" s="32"/>
      <x:c r="L10" s="32" t="str">
        <x:v>/opt/process-lab</x:v>
      </x:c>
      <x:c r="M10" s="32" t="str">
        <x:v>report-generator.service</x:v>
      </x:c>
      <x:c r="N10" s="32" t="str">
        <x:v>reportsvc</x:v>
      </x:c>
      <x:c r="O10" s="32"/>
      <x:c r="P10" s="32" t="str">
        <x:v>Planned</x:v>
      </x:c>
      <x:c r="Q10" s="32"/>
      <x:c r="R10" s="32" t="str">
        <x:v>One assigned VM per student; replace values before execution.</x:v>
      </x:c>
    </x:row>
    <x:row r="11">
      <x:c r="A11" s="32" t="str">
        <x:v>VM-06</x:v>
      </x:c>
      <x:c r="B11" s="32" t="str">
        <x:v>Student Bank Process Lab VM</x:v>
      </x:c>
      <x:c r="C11" s="32" t="str">
        <x:v>lab-process-06</x:v>
      </x:c>
      <x:c r="D11" s="32"/>
      <x:c r="E11" s="32"/>
      <x:c r="F11" s="32" t="str">
        <x:v>Rocky Linux 9</x:v>
      </x:c>
      <x:c r="G11" s="32" t="n">
        <x:v>1</x:v>
      </x:c>
      <x:c r="H11" s="32" t="n">
        <x:v>1</x:v>
      </x:c>
      <x:c r="I11" s="32" t="n">
        <x:v>20</x:v>
      </x:c>
      <x:c r="J11" s="32" t="str">
        <x:v>Yes</x:v>
      </x:c>
      <x:c r="K11" s="32"/>
      <x:c r="L11" s="32" t="str">
        <x:v>/opt/process-lab</x:v>
      </x:c>
      <x:c r="M11" s="32" t="str">
        <x:v>report-generator.service</x:v>
      </x:c>
      <x:c r="N11" s="32" t="str">
        <x:v>reportsvc</x:v>
      </x:c>
      <x:c r="O11" s="32"/>
      <x:c r="P11" s="32" t="str">
        <x:v>Planned</x:v>
      </x:c>
      <x:c r="Q11" s="32"/>
      <x:c r="R11" s="32" t="str">
        <x:v>One assigned VM per student; replace values before execution.</x:v>
      </x:c>
    </x:row>
    <x:row r="12">
      <x:c r="A12" s="32" t="str">
        <x:v>VM-07</x:v>
      </x:c>
      <x:c r="B12" s="32" t="str">
        <x:v>Student Bank Process Lab VM</x:v>
      </x:c>
      <x:c r="C12" s="32" t="str">
        <x:v>lab-process-07</x:v>
      </x:c>
      <x:c r="D12" s="32"/>
      <x:c r="E12" s="32"/>
      <x:c r="F12" s="32" t="str">
        <x:v>Rocky Linux 9</x:v>
      </x:c>
      <x:c r="G12" s="32" t="n">
        <x:v>1</x:v>
      </x:c>
      <x:c r="H12" s="32" t="n">
        <x:v>1</x:v>
      </x:c>
      <x:c r="I12" s="32" t="n">
        <x:v>20</x:v>
      </x:c>
      <x:c r="J12" s="32" t="str">
        <x:v>Yes</x:v>
      </x:c>
      <x:c r="K12" s="32"/>
      <x:c r="L12" s="32" t="str">
        <x:v>/opt/process-lab</x:v>
      </x:c>
      <x:c r="M12" s="32" t="str">
        <x:v>report-generator.service</x:v>
      </x:c>
      <x:c r="N12" s="32" t="str">
        <x:v>reportsvc</x:v>
      </x:c>
      <x:c r="O12" s="32"/>
      <x:c r="P12" s="32" t="str">
        <x:v>Planned</x:v>
      </x:c>
      <x:c r="Q12" s="32"/>
      <x:c r="R12" s="32" t="str">
        <x:v>One assigned VM per student; replace values before execution.</x:v>
      </x:c>
    </x:row>
    <x:row r="13">
      <x:c r="A13" s="32" t="str">
        <x:v>VM-08</x:v>
      </x:c>
      <x:c r="B13" s="32" t="str">
        <x:v>Student Bank Process Lab VM</x:v>
      </x:c>
      <x:c r="C13" s="32" t="str">
        <x:v>lab-process-08</x:v>
      </x:c>
      <x:c r="D13" s="32"/>
      <x:c r="E13" s="32"/>
      <x:c r="F13" s="32" t="str">
        <x:v>Rocky Linux 9</x:v>
      </x:c>
      <x:c r="G13" s="32" t="n">
        <x:v>1</x:v>
      </x:c>
      <x:c r="H13" s="32" t="n">
        <x:v>1</x:v>
      </x:c>
      <x:c r="I13" s="32" t="n">
        <x:v>20</x:v>
      </x:c>
      <x:c r="J13" s="32" t="str">
        <x:v>Yes</x:v>
      </x:c>
      <x:c r="K13" s="32"/>
      <x:c r="L13" s="32" t="str">
        <x:v>/opt/process-lab</x:v>
      </x:c>
      <x:c r="M13" s="32" t="str">
        <x:v>report-generator.service</x:v>
      </x:c>
      <x:c r="N13" s="32" t="str">
        <x:v>reportsvc</x:v>
      </x:c>
      <x:c r="O13" s="32"/>
      <x:c r="P13" s="32" t="str">
        <x:v>Planned</x:v>
      </x:c>
      <x:c r="Q13" s="32"/>
      <x:c r="R13" s="32" t="str">
        <x:v>One assigned VM per student; replace values before execution.</x:v>
      </x:c>
    </x:row>
    <x:row r="14">
      <x:c r="A14" s="32" t="str">
        <x:v>VM-09</x:v>
      </x:c>
      <x:c r="B14" s="32" t="str">
        <x:v>Student Bank Process Lab VM</x:v>
      </x:c>
      <x:c r="C14" s="32" t="str">
        <x:v>lab-process-09</x:v>
      </x:c>
      <x:c r="D14" s="32"/>
      <x:c r="E14" s="32"/>
      <x:c r="F14" s="32" t="str">
        <x:v>Rocky Linux 9</x:v>
      </x:c>
      <x:c r="G14" s="32" t="n">
        <x:v>1</x:v>
      </x:c>
      <x:c r="H14" s="32" t="n">
        <x:v>1</x:v>
      </x:c>
      <x:c r="I14" s="32" t="n">
        <x:v>20</x:v>
      </x:c>
      <x:c r="J14" s="32" t="str">
        <x:v>Yes</x:v>
      </x:c>
      <x:c r="K14" s="32"/>
      <x:c r="L14" s="32" t="str">
        <x:v>/opt/process-lab</x:v>
      </x:c>
      <x:c r="M14" s="32" t="str">
        <x:v>report-generator.service</x:v>
      </x:c>
      <x:c r="N14" s="32" t="str">
        <x:v>reportsvc</x:v>
      </x:c>
      <x:c r="O14" s="32"/>
      <x:c r="P14" s="32" t="str">
        <x:v>Planned</x:v>
      </x:c>
      <x:c r="Q14" s="32"/>
      <x:c r="R14" s="32" t="str">
        <x:v>One assigned VM per student; replace values before execution.</x:v>
      </x:c>
    </x:row>
    <x:row r="15">
      <x:c r="A15" s="32" t="str">
        <x:v>VM-10</x:v>
      </x:c>
      <x:c r="B15" s="32" t="str">
        <x:v>Student Bank Process Lab VM</x:v>
      </x:c>
      <x:c r="C15" s="32" t="str">
        <x:v>lab-process-10</x:v>
      </x:c>
      <x:c r="D15" s="32"/>
      <x:c r="E15" s="32"/>
      <x:c r="F15" s="32" t="str">
        <x:v>Rocky Linux 9</x:v>
      </x:c>
      <x:c r="G15" s="32" t="n">
        <x:v>1</x:v>
      </x:c>
      <x:c r="H15" s="32" t="n">
        <x:v>1</x:v>
      </x:c>
      <x:c r="I15" s="32" t="n">
        <x:v>20</x:v>
      </x:c>
      <x:c r="J15" s="32" t="str">
        <x:v>Yes</x:v>
      </x:c>
      <x:c r="K15" s="32"/>
      <x:c r="L15" s="32" t="str">
        <x:v>/opt/process-lab</x:v>
      </x:c>
      <x:c r="M15" s="32" t="str">
        <x:v>report-generator.service</x:v>
      </x:c>
      <x:c r="N15" s="32" t="str">
        <x:v>reportsvc</x:v>
      </x:c>
      <x:c r="O15" s="32"/>
      <x:c r="P15" s="32" t="str">
        <x:v>Planned</x:v>
      </x:c>
      <x:c r="Q15" s="32"/>
      <x:c r="R15" s="32" t="str">
        <x:v>One assigned VM per student; replace values before execution.</x:v>
      </x:c>
    </x:row>
    <x:row r="16">
      <x:c r="A16" s="32" t="str">
        <x:v>VM-11</x:v>
      </x:c>
      <x:c r="B16" s="32" t="str">
        <x:v>Student Bank Process Lab VM</x:v>
      </x:c>
      <x:c r="C16" s="32" t="str">
        <x:v>lab-process-11</x:v>
      </x:c>
      <x:c r="D16" s="32"/>
      <x:c r="E16" s="32"/>
      <x:c r="F16" s="32" t="str">
        <x:v>Rocky Linux 9</x:v>
      </x:c>
      <x:c r="G16" s="32" t="n">
        <x:v>1</x:v>
      </x:c>
      <x:c r="H16" s="32" t="n">
        <x:v>1</x:v>
      </x:c>
      <x:c r="I16" s="32" t="n">
        <x:v>20</x:v>
      </x:c>
      <x:c r="J16" s="32" t="str">
        <x:v>Yes</x:v>
      </x:c>
      <x:c r="K16" s="32"/>
      <x:c r="L16" s="32" t="str">
        <x:v>/opt/process-lab</x:v>
      </x:c>
      <x:c r="M16" s="32" t="str">
        <x:v>report-generator.service</x:v>
      </x:c>
      <x:c r="N16" s="32" t="str">
        <x:v>reportsvc</x:v>
      </x:c>
      <x:c r="O16" s="32"/>
      <x:c r="P16" s="32" t="str">
        <x:v>Planned</x:v>
      </x:c>
      <x:c r="Q16" s="32"/>
      <x:c r="R16" s="32" t="str">
        <x:v>One assigned VM per student; replace values before execution.</x:v>
      </x:c>
    </x:row>
    <x:row r="17">
      <x:c r="A17" s="32" t="str">
        <x:v>VM-12</x:v>
      </x:c>
      <x:c r="B17" s="32" t="str">
        <x:v>Student Bank Process Lab VM</x:v>
      </x:c>
      <x:c r="C17" s="32" t="str">
        <x:v>lab-process-12</x:v>
      </x:c>
      <x:c r="D17" s="32"/>
      <x:c r="E17" s="32"/>
      <x:c r="F17" s="32" t="str">
        <x:v>Rocky Linux 9</x:v>
      </x:c>
      <x:c r="G17" s="32" t="n">
        <x:v>1</x:v>
      </x:c>
      <x:c r="H17" s="32" t="n">
        <x:v>1</x:v>
      </x:c>
      <x:c r="I17" s="32" t="n">
        <x:v>20</x:v>
      </x:c>
      <x:c r="J17" s="32" t="str">
        <x:v>Yes</x:v>
      </x:c>
      <x:c r="K17" s="32"/>
      <x:c r="L17" s="32" t="str">
        <x:v>/opt/process-lab</x:v>
      </x:c>
      <x:c r="M17" s="32" t="str">
        <x:v>report-generator.service</x:v>
      </x:c>
      <x:c r="N17" s="32" t="str">
        <x:v>reportsvc</x:v>
      </x:c>
      <x:c r="O17" s="32"/>
      <x:c r="P17" s="32" t="str">
        <x:v>Planned</x:v>
      </x:c>
      <x:c r="Q17" s="32"/>
      <x:c r="R17" s="32" t="str">
        <x:v>One assigned VM per student; replace values before execution.</x:v>
      </x:c>
    </x:row>
    <x:row r="18">
      <x:c r="A18" s="32" t="str">
        <x:v>VM-13</x:v>
      </x:c>
      <x:c r="B18" s="32" t="str">
        <x:v>Student Bank Process Lab VM</x:v>
      </x:c>
      <x:c r="C18" s="32" t="str">
        <x:v>lab-process-13</x:v>
      </x:c>
      <x:c r="D18" s="32"/>
      <x:c r="E18" s="32"/>
      <x:c r="F18" s="32" t="str">
        <x:v>Rocky Linux 9</x:v>
      </x:c>
      <x:c r="G18" s="32" t="n">
        <x:v>1</x:v>
      </x:c>
      <x:c r="H18" s="32" t="n">
        <x:v>1</x:v>
      </x:c>
      <x:c r="I18" s="32" t="n">
        <x:v>20</x:v>
      </x:c>
      <x:c r="J18" s="32" t="str">
        <x:v>Yes</x:v>
      </x:c>
      <x:c r="K18" s="32"/>
      <x:c r="L18" s="32" t="str">
        <x:v>/opt/process-lab</x:v>
      </x:c>
      <x:c r="M18" s="32" t="str">
        <x:v>report-generator.service</x:v>
      </x:c>
      <x:c r="N18" s="32" t="str">
        <x:v>reportsvc</x:v>
      </x:c>
      <x:c r="O18" s="32"/>
      <x:c r="P18" s="32" t="str">
        <x:v>Planned</x:v>
      </x:c>
      <x:c r="Q18" s="32"/>
      <x:c r="R18" s="32" t="str">
        <x:v>One assigned VM per student; replace values before execution.</x:v>
      </x:c>
    </x:row>
    <x:row r="19">
      <x:c r="A19" s="32" t="str">
        <x:v>VM-14</x:v>
      </x:c>
      <x:c r="B19" s="32" t="str">
        <x:v>Student Bank Process Lab VM</x:v>
      </x:c>
      <x:c r="C19" s="32" t="str">
        <x:v>lab-process-14</x:v>
      </x:c>
      <x:c r="D19" s="32"/>
      <x:c r="E19" s="32"/>
      <x:c r="F19" s="32" t="str">
        <x:v>Rocky Linux 9</x:v>
      </x:c>
      <x:c r="G19" s="32" t="n">
        <x:v>1</x:v>
      </x:c>
      <x:c r="H19" s="32" t="n">
        <x:v>1</x:v>
      </x:c>
      <x:c r="I19" s="32" t="n">
        <x:v>20</x:v>
      </x:c>
      <x:c r="J19" s="32" t="str">
        <x:v>Yes</x:v>
      </x:c>
      <x:c r="K19" s="32"/>
      <x:c r="L19" s="32" t="str">
        <x:v>/opt/process-lab</x:v>
      </x:c>
      <x:c r="M19" s="32" t="str">
        <x:v>report-generator.service</x:v>
      </x:c>
      <x:c r="N19" s="32" t="str">
        <x:v>reportsvc</x:v>
      </x:c>
      <x:c r="O19" s="32"/>
      <x:c r="P19" s="32" t="str">
        <x:v>Planned</x:v>
      </x:c>
      <x:c r="Q19" s="32"/>
      <x:c r="R19" s="32" t="str">
        <x:v>One assigned VM per student; replace values before execution.</x:v>
      </x:c>
    </x:row>
  </x:sheetData>
  <x:mergeCells>
    <x:mergeCell ref="A1:R1"/>
    <x:mergeCell ref="A2:R2"/>
  </x:mergeCells>
  <x:conditionalFormatting sqref="P5:P19">
    <x:cfRule type="expression" dxfId="5" priority="1">
      <x:formula>P5="Complete"</x:formula>
    </x:cfRule>
    <x:cfRule type="expression" dxfId="6" priority="2">
      <x:formula>P5="In Progress"</x:formula>
    </x:cfRule>
    <x:cfRule type="expression" dxfId="7" priority="3">
      <x:formula>P5="Failed"</x:formula>
    </x:cfRule>
    <x:cfRule type="expression" dxfId="8" priority="4">
      <x:formula>P5="Approved"</x:formula>
    </x:cfRule>
    <x:cfRule type="expression" dxfId="9" priority="5">
      <x:formula>P5="Pending"</x:formula>
    </x:cfRule>
  </x:conditionalFormatting>
  <x:dataValidations count="1">
    <x:dataValidation type="list" sqref="P5:P19">
      <x:formula1>"Planned,Ready,In Progress,Validated,Failed,Retired"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8" hidden="0" customWidth="1"/>
    <x:col min="4" max="4" width="20" hidden="0" customWidth="1"/>
    <x:col min="5" max="5" width="22" hidden="0" customWidth="1"/>
    <x:col min="6" max="6" width="30" hidden="0" customWidth="1"/>
    <x:col min="7" max="7" width="22" hidden="0" customWidth="1"/>
    <x:col min="8" max="8" width="28" hidden="0" customWidth="1"/>
    <x:col min="9" max="9" width="20" hidden="0" customWidth="1"/>
    <x:col min="10" max="10" width="14" hidden="0" customWidth="1"/>
    <x:col min="11" max="11" width="28" hidden="0" customWidth="1"/>
  </x:cols>
  <x:sheetData>
    <x:row r="1" ht="30" customHeight="1">
      <x:c r="A1" s="5" t="str">
        <x:v>Access, Package, Process and Service Dependencies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12" t="str">
        <x:v>Business and technical prerequisites that must be confirmed before implementation.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5" t="str">
        <x:v>ID</x:v>
      </x:c>
      <x:c r="B4" s="25" t="str">
        <x:v>Category</x:v>
      </x:c>
      <x:c r="C4" s="25" t="str">
        <x:v>Dependency / Input</x:v>
      </x:c>
      <x:c r="D4" s="25" t="str">
        <x:v>Provided By</x:v>
      </x:c>
      <x:c r="E4" s="25" t="str">
        <x:v>Needed For</x:v>
      </x:c>
      <x:c r="F4" s="25" t="str">
        <x:v>Pre-Check / Command</x:v>
      </x:c>
      <x:c r="G4" s="25" t="str">
        <x:v>Expected Result</x:v>
      </x:c>
      <x:c r="H4" s="25" t="str">
        <x:v>Business Risk if Missing</x:v>
      </x:c>
      <x:c r="I4" s="25" t="str">
        <x:v>Resolution Owner</x:v>
      </x:c>
      <x:c r="J4" s="25" t="str">
        <x:v>Status</x:v>
      </x:c>
      <x:c r="K4" s="25" t="str">
        <x:v>Approval / Notes</x:v>
      </x:c>
    </x:row>
    <x:row r="5">
      <x:c r="A5" s="32" t="str">
        <x:v>D01</x:v>
      </x:c>
      <x:c r="B5" s="32" t="str">
        <x:v>Access</x:v>
      </x:c>
      <x:c r="C5" s="32" t="str">
        <x:v>Assigned Rocky Linux 9 VM with root account</x:v>
      </x:c>
      <x:c r="D5" s="32" t="str">
        <x:v>Lab Administrator</x:v>
      </x:c>
      <x:c r="E5" s="32" t="str">
        <x:v>All technical activities</x:v>
      </x:c>
      <x:c r="F5" s="32" t="str">
        <x:v>whoami; id</x:v>
      </x:c>
      <x:c r="G5" s="32" t="str">
        <x:v>root / uid=0</x:v>
      </x:c>
      <x:c r="H5" s="32" t="str">
        <x:v>Student cannot complete the lab</x:v>
      </x:c>
      <x:c r="I5" s="32" t="str">
        <x:v>Xen Orchestra Admin</x:v>
      </x:c>
      <x:c r="J5" s="32" t="str">
        <x:v>Pending</x:v>
      </x:c>
      <x:c r="K5" s="32"/>
    </x:row>
    <x:row r="6">
      <x:c r="A6" s="32" t="str">
        <x:v>D02</x:v>
      </x:c>
      <x:c r="B6" s="32" t="str">
        <x:v>Recovery</x:v>
      </x:c>
      <x:c r="C6" s="32" t="str">
        <x:v>Pre-change Xen Orchestra snapshot</x:v>
      </x:c>
      <x:c r="D6" s="32" t="str">
        <x:v>Student / Lab Admin</x:v>
      </x:c>
      <x:c r="E6" s="32" t="str">
        <x:v>Rollback</x:v>
      </x:c>
      <x:c r="F6" s="32" t="str">
        <x:v>Record snapshot name and time</x:v>
      </x:c>
      <x:c r="G6" s="32" t="str">
        <x:v>Snapshot available</x:v>
      </x:c>
      <x:c r="H6" s="32" t="str">
        <x:v>Longer recovery and possible rebuild</x:v>
      </x:c>
      <x:c r="I6" s="32" t="str">
        <x:v>Lab Administrator</x:v>
      </x:c>
      <x:c r="J6" s="32" t="str">
        <x:v>Pending</x:v>
      </x:c>
      <x:c r="K6" s="32"/>
    </x:row>
    <x:row r="7">
      <x:c r="A7" s="32" t="str">
        <x:v>D03</x:v>
      </x:c>
      <x:c r="B7" s="32" t="str">
        <x:v>Package</x:v>
      </x:c>
      <x:c r="C7" s="32" t="str">
        <x:v>procps-ng</x:v>
      </x:c>
      <x:c r="D7" s="32" t="str">
        <x:v>Rocky repository</x:v>
      </x:c>
      <x:c r="E7" s="32" t="str">
        <x:v>ps, top, pgrep</x:v>
      </x:c>
      <x:c r="F7" s="32" t="str">
        <x:v>rpm -q procps-ng</x:v>
      </x:c>
      <x:c r="G7" s="32" t="str">
        <x:v>Installed</x:v>
      </x:c>
      <x:c r="H7" s="32" t="str">
        <x:v>Core monitoring commands missing</x:v>
      </x:c>
      <x:c r="I7" s="32" t="str">
        <x:v>Student</x:v>
      </x:c>
      <x:c r="J7" s="32" t="str">
        <x:v>Pending</x:v>
      </x:c>
      <x:c r="K7" s="32"/>
    </x:row>
    <x:row r="8">
      <x:c r="A8" s="32" t="str">
        <x:v>D04</x:v>
      </x:c>
      <x:c r="B8" s="32" t="str">
        <x:v>Package</x:v>
      </x:c>
      <x:c r="C8" s="32" t="str">
        <x:v>psmisc</x:v>
      </x:c>
      <x:c r="D8" s="32" t="str">
        <x:v>Rocky repository</x:v>
      </x:c>
      <x:c r="E8" s="32" t="str">
        <x:v>pstree and process tools</x:v>
      </x:c>
      <x:c r="F8" s="32" t="str">
        <x:v>rpm -q psmisc</x:v>
      </x:c>
      <x:c r="G8" s="32" t="str">
        <x:v>Installed</x:v>
      </x:c>
      <x:c r="H8" s="32" t="str">
        <x:v>Parent-child view unavailable</x:v>
      </x:c>
      <x:c r="I8" s="32" t="str">
        <x:v>Student</x:v>
      </x:c>
      <x:c r="J8" s="32" t="str">
        <x:v>Pending</x:v>
      </x:c>
      <x:c r="K8" s="32"/>
    </x:row>
    <x:row r="9">
      <x:c r="A9" s="32" t="str">
        <x:v>D05</x:v>
      </x:c>
      <x:c r="B9" s="32" t="str">
        <x:v>Package</x:v>
      </x:c>
      <x:c r="C9" s="32" t="str">
        <x:v>gcc</x:v>
      </x:c>
      <x:c r="D9" s="32" t="str">
        <x:v>Rocky repository</x:v>
      </x:c>
      <x:c r="E9" s="32" t="str">
        <x:v>Zombie C program</x:v>
      </x:c>
      <x:c r="F9" s="32" t="str">
        <x:v>rpm -q gcc</x:v>
      </x:c>
      <x:c r="G9" s="32" t="str">
        <x:v>Installed</x:v>
      </x:c>
      <x:c r="H9" s="32" t="str">
        <x:v>Zombie exercise cannot be compiled</x:v>
      </x:c>
      <x:c r="I9" s="32" t="str">
        <x:v>Student</x:v>
      </x:c>
      <x:c r="J9" s="32" t="str">
        <x:v>Pending</x:v>
      </x:c>
      <x:c r="K9" s="32"/>
    </x:row>
    <x:row r="10">
      <x:c r="A10" s="32" t="str">
        <x:v>D06</x:v>
      </x:c>
      <x:c r="B10" s="32" t="str">
        <x:v>Service</x:v>
      </x:c>
      <x:c r="C10" s="32" t="str">
        <x:v>systemd operational</x:v>
      </x:c>
      <x:c r="D10" s="32" t="str">
        <x:v>Rocky Linux</x:v>
      </x:c>
      <x:c r="E10" s="32" t="str">
        <x:v>Service management</x:v>
      </x:c>
      <x:c r="F10" s="32" t="str">
        <x:v>systemctl is-system-running</x:v>
      </x:c>
      <x:c r="G10" s="32" t="str">
        <x:v>running or degraded with explanation</x:v>
      </x:c>
      <x:c r="H10" s="32" t="str">
        <x:v>Service lab unavailable</x:v>
      </x:c>
      <x:c r="I10" s="32" t="str">
        <x:v>Student</x:v>
      </x:c>
      <x:c r="J10" s="32" t="str">
        <x:v>Pending</x:v>
      </x:c>
      <x:c r="K10" s="32"/>
    </x:row>
    <x:row r="11">
      <x:c r="A11" s="32" t="str">
        <x:v>D07</x:v>
      </x:c>
      <x:c r="B11" s="32" t="str">
        <x:v>Filesystem</x:v>
      </x:c>
      <x:c r="C11" s="32" t="str">
        <x:v>/opt/process-lab writable</x:v>
      </x:c>
      <x:c r="D11" s="32" t="str">
        <x:v>Student root account</x:v>
      </x:c>
      <x:c r="E11" s="32" t="str">
        <x:v>Project files</x:v>
      </x:c>
      <x:c r="F11" s="32" t="str">
        <x:v>test -d /opt/process-lab</x:v>
      </x:c>
      <x:c r="G11" s="32" t="str">
        <x:v>Directory exists</x:v>
      </x:c>
      <x:c r="H11" s="32" t="str">
        <x:v>Scripts cannot be stored consistently</x:v>
      </x:c>
      <x:c r="I11" s="32" t="str">
        <x:v>Student</x:v>
      </x:c>
      <x:c r="J11" s="32" t="str">
        <x:v>Pending</x:v>
      </x:c>
      <x:c r="K11" s="32"/>
    </x:row>
    <x:row r="12">
      <x:c r="A12" s="32" t="str">
        <x:v>D08</x:v>
      </x:c>
      <x:c r="B12" s="32" t="str">
        <x:v>Filesystem</x:v>
      </x:c>
      <x:c r="C12" s="32" t="str">
        <x:v>/proc mounted</x:v>
      </x:c>
      <x:c r="D12" s="32" t="str">
        <x:v>Linux kernel</x:v>
      </x:c>
      <x:c r="E12" s="32" t="str">
        <x:v>Process inspection</x:v>
      </x:c>
      <x:c r="F12" s="32" t="str">
        <x:v>mount | grep ' on /proc '</x:v>
      </x:c>
      <x:c r="G12" s="32" t="str">
        <x:v>proc filesystem mounted</x:v>
      </x:c>
      <x:c r="H12" s="32" t="str">
        <x:v>Process internals unavailable</x:v>
      </x:c>
      <x:c r="I12" s="32" t="str">
        <x:v>Student</x:v>
      </x:c>
      <x:c r="J12" s="32" t="str">
        <x:v>Pending</x:v>
      </x:c>
      <x:c r="K12" s="32"/>
    </x:row>
    <x:row r="13">
      <x:c r="A13" s="32" t="str">
        <x:v>D09</x:v>
      </x:c>
      <x:c r="B13" s="32" t="str">
        <x:v>Network</x:v>
      </x:c>
      <x:c r="C13" s="32" t="str">
        <x:v>SSH TCP 22 or Xen Orchestra console</x:v>
      </x:c>
      <x:c r="D13" s="32" t="str">
        <x:v>Lab Administrator</x:v>
      </x:c>
      <x:c r="E13" s="32" t="str">
        <x:v>Student access</x:v>
      </x:c>
      <x:c r="F13" s="32" t="str">
        <x:v>ss -lntp | grep :22</x:v>
      </x:c>
      <x:c r="G13" s="32" t="str">
        <x:v>Approved access works</x:v>
      </x:c>
      <x:c r="H13" s="32" t="str">
        <x:v>Student locked out</x:v>
      </x:c>
      <x:c r="I13" s="32" t="str">
        <x:v>Xen Orchestra Admin</x:v>
      </x:c>
      <x:c r="J13" s="32" t="str">
        <x:v>Pending</x:v>
      </x:c>
      <x:c r="K13" s="32"/>
    </x:row>
    <x:row r="14">
      <x:c r="A14" s="32" t="str">
        <x:v>D10</x:v>
      </x:c>
      <x:c r="B14" s="32" t="str">
        <x:v>Business</x:v>
      </x:c>
      <x:c r="C14" s="32" t="str">
        <x:v>Approved student roster and VM assignment</x:v>
      </x:c>
      <x:c r="D14" s="32" t="str">
        <x:v>Instructor</x:v>
      </x:c>
      <x:c r="E14" s="32" t="str">
        <x:v>Accountability and evidence</x:v>
      </x:c>
      <x:c r="F14" s="32" t="str">
        <x:v>Review roster</x:v>
      </x:c>
      <x:c r="G14" s="32" t="str">
        <x:v>Every student mapped to one VM</x:v>
      </x:c>
      <x:c r="H14" s="32" t="str">
        <x:v>Evidence cannot be attributed</x:v>
      </x:c>
      <x:c r="I14" s="32" t="str">
        <x:v>Instructor</x:v>
      </x:c>
      <x:c r="J14" s="32" t="str">
        <x:v>Pending</x:v>
      </x:c>
      <x:c r="K14" s="32"/>
    </x:row>
    <x:row r="15">
      <x:c r="A15" s="32" t="str">
        <x:v>D11</x:v>
      </x:c>
      <x:c r="B15" s="32" t="str">
        <x:v>Business</x:v>
      </x:c>
      <x:c r="C15" s="32" t="str">
        <x:v>Evidence storage location</x:v>
      </x:c>
      <x:c r="D15" s="32" t="str">
        <x:v>Instructor</x:v>
      </x:c>
      <x:c r="E15" s="32" t="str">
        <x:v>Acceptance and grading</x:v>
      </x:c>
      <x:c r="F15" s="32" t="str">
        <x:v>Confirm LMS/Drive folder</x:v>
      </x:c>
      <x:c r="G15" s="32" t="str">
        <x:v>Location approved</x:v>
      </x:c>
      <x:c r="H15" s="32" t="str">
        <x:v>Evidence lost or inconsistent</x:v>
      </x:c>
      <x:c r="I15" s="32" t="str">
        <x:v>Document Controller</x:v>
      </x:c>
      <x:c r="J15" s="32" t="str">
        <x:v>Pending</x:v>
      </x:c>
      <x:c r="K15" s="32"/>
    </x:row>
    <x:row r="16">
      <x:c r="A16" s="32" t="str">
        <x:v>D12</x:v>
      </x:c>
      <x:c r="B16" s="32" t="str">
        <x:v>Governance</x:v>
      </x:c>
      <x:c r="C16" s="32" t="str">
        <x:v>No real bank/customer data used</x:v>
      </x:c>
      <x:c r="D16" s="32" t="str">
        <x:v>Instructor / Students</x:v>
      </x:c>
      <x:c r="E16" s="32" t="str">
        <x:v>Privacy and safety</x:v>
      </x:c>
      <x:c r="F16" s="32" t="str">
        <x:v>Review scenario data</x:v>
      </x:c>
      <x:c r="G16" s="32" t="str">
        <x:v>Synthetic data only</x:v>
      </x:c>
      <x:c r="H16" s="32" t="str">
        <x:v>Privacy/compliance issue</x:v>
      </x:c>
      <x:c r="I16" s="32" t="str">
        <x:v>Project Manager</x:v>
      </x:c>
      <x:c r="J16" s="32" t="str">
        <x:v>Pending</x:v>
      </x:c>
      <x:c r="K16" s="32"/>
    </x:row>
  </x:sheetData>
  <x:mergeCells>
    <x:mergeCell ref="A1:K1"/>
    <x:mergeCell ref="A2:K2"/>
  </x:mergeCells>
  <x:conditionalFormatting sqref="J5:J16">
    <x:cfRule type="expression" dxfId="10" priority="1">
      <x:formula>J5="Complete"</x:formula>
    </x:cfRule>
    <x:cfRule type="expression" dxfId="11" priority="2">
      <x:formula>J5="In Progress"</x:formula>
    </x:cfRule>
    <x:cfRule type="expression" dxfId="12" priority="3">
      <x:formula>J5="Failed"</x:formula>
    </x:cfRule>
    <x:cfRule type="expression" dxfId="13" priority="4">
      <x:formula>J5="Approved"</x:formula>
    </x:cfRule>
    <x:cfRule type="expression" dxfId="14" priority="5">
      <x:formula>J5="Pending"</x:formula>
    </x:cfRule>
  </x:conditionalFormatting>
  <x:dataValidations count="1">
    <x:dataValidation type="list" sqref="J5:J16">
      <x:formula1>"Pending,Confirmed,Blocked,Not Applicable"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0" hidden="0" customWidth="1"/>
    <x:col min="4" max="4" width="12" hidden="0" customWidth="1"/>
    <x:col min="5" max="5" width="22" hidden="0" customWidth="1"/>
    <x:col min="6" max="6" width="34" hidden="0" customWidth="1"/>
    <x:col min="7" max="7" width="45" hidden="0" customWidth="1"/>
    <x:col min="8" max="8" width="30" hidden="0" customWidth="1"/>
    <x:col min="9" max="9" width="32" hidden="0" customWidth="1"/>
    <x:col min="10" max="10" width="14" hidden="0" customWidth="1"/>
    <x:col min="11" max="11" width="18" hidden="0" customWidth="1"/>
    <x:col min="12" max="12" width="12" hidden="0" customWidth="1"/>
    <x:col min="13" max="13" width="19" hidden="0" customWidth="1"/>
    <x:col min="14" max="14" width="19" hidden="0" customWidth="1"/>
    <x:col min="15" max="15" width="34" hidden="0" customWidth="1"/>
    <x:col min="16" max="16" width="12" hidden="0" customWidth="1"/>
    <x:col min="17" max="17" width="15" hidden="0" customWidth="1"/>
  </x:cols>
  <x:sheetData>
    <x:row r="1" ht="30" customHeight="1">
      <x:c r="A1" s="5" t="str">
        <x:v>Master NCD Execution Plan – Execute in Sequence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8" customHeight="1">
      <x:c r="A2" s="12" t="str">
        <x:v>All commands assume students are logged in directly as root on their assigned Rocky Linux VM.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4">
      <x:c r="A4" s="88" t="str">
        <x:v>Change ID</x:v>
      </x:c>
      <x:c r="B4" s="88" t="str">
        <x:v>NIT-BANK-LPX-001</x:v>
      </x:c>
      <x:c r="C4" s="88" t="str">
        <x:v>Planned Window</x:v>
      </x:c>
      <x:c r="D4" s="88" t="str">
        <x:v>2026-07-27 to 2026-08-14</x:v>
      </x:c>
      <x:c r="E4" s="88" t="str">
        <x:v>Implementer</x:v>
      </x:c>
      <x:c r="F4" s="88" t="str">
        <x:v>Student Team</x:v>
      </x:c>
      <x:c r="G4" s="88" t="str">
        <x:v>Change Manager</x:v>
      </x:c>
      <x:c r="H4" s="88" t="str">
        <x:v>Instructor</x:v>
      </x:c>
      <x:c r="I4" s="88" t="str">
        <x:v>Technical Owner</x:v>
      </x:c>
      <x:c r="J4" s="88" t="str">
        <x:v>Linux Lead</x:v>
      </x:c>
      <x:c r="K4" s="88" t="str">
        <x:v>Status</x:v>
      </x:c>
      <x:c r="L4" s="88" t="str">
        <x:v>Draft</x:v>
      </x:c>
    </x:row>
    <x:row r="6">
      <x:c r="A6" s="25" t="str">
        <x:v>Seq</x:v>
      </x:c>
      <x:c r="B6" s="25" t="str">
        <x:v>Phase</x:v>
      </x:c>
      <x:c r="C6" s="25" t="str">
        <x:v>Step ID</x:v>
      </x:c>
      <x:c r="D6" s="25" t="str">
        <x:v>Gate</x:v>
      </x:c>
      <x:c r="E6" s="25" t="str">
        <x:v>Target Host / Role</x:v>
      </x:c>
      <x:c r="F6" s="25" t="str">
        <x:v>Procedure / Action</x:v>
      </x:c>
      <x:c r="G6" s="25" t="str">
        <x:v>Command / Navigation</x:v>
      </x:c>
      <x:c r="H6" s="25" t="str">
        <x:v>Expected Result</x:v>
      </x:c>
      <x:c r="I6" s="25" t="str">
        <x:v>Comments / Dependencies</x:v>
      </x:c>
      <x:c r="J6" s="25" t="str">
        <x:v>Status</x:v>
      </x:c>
      <x:c r="K6" s="25" t="str">
        <x:v>Owner</x:v>
      </x:c>
      <x:c r="L6" s="25" t="str">
        <x:v>Planned Duration (min)</x:v>
      </x:c>
      <x:c r="M6" s="25" t="str">
        <x:v>Start Time</x:v>
      </x:c>
      <x:c r="N6" s="25" t="str">
        <x:v>End Time</x:v>
      </x:c>
      <x:c r="O6" s="25" t="str">
        <x:v>Actual Result / Evidence</x:v>
      </x:c>
      <x:c r="P6" s="25" t="str">
        <x:v>Rollback Ref</x:v>
      </x:c>
      <x:c r="Q6" s="25" t="str">
        <x:v>Actual Duration (min)</x:v>
      </x:c>
    </x:row>
    <x:row r="7">
      <x:c r="A7" s="32" t="n">
        <x:v>1</x:v>
      </x:c>
      <x:c r="B7" s="32" t="str">
        <x:v>A. Pre-Implementation</x:v>
      </x:c>
      <x:c r="C7" s="32" t="str">
        <x:v>A01</x:v>
      </x:c>
      <x:c r="D7" s="32" t="str">
        <x:v>Mandatory</x:v>
      </x:c>
      <x:c r="E7" s="32" t="str">
        <x:v>Change record</x:v>
      </x:c>
      <x:c r="F7" s="32" t="str">
        <x:v>Confirm project approval and authorized training scope.</x:v>
      </x:c>
      <x:c r="G7" s="32" t="str">
        <x:v>Review CTR, PMP, NCD, Master Schedule and instructor approval.</x:v>
      </x:c>
      <x:c r="H7" s="32" t="str">
        <x:v>Approved scope and project window confirmed.</x:v>
      </x:c>
      <x:c r="I7" s="32" t="str">
        <x:v>Do not begin technical work without approval.</x:v>
      </x:c>
      <x:c r="J7" s="32" t="str">
        <x:v>Not Started</x:v>
      </x:c>
      <x:c r="K7" s="32" t="str">
        <x:v>Project Manager</x:v>
      </x:c>
      <x:c r="L7" s="32" t="n">
        <x:v>10</x:v>
      </x:c>
      <x:c r="M7" s="92"/>
      <x:c r="N7" s="92"/>
      <x:c r="O7" s="32"/>
      <x:c r="P7" s="32"/>
      <x:c r="Q7" s="32" t="str">
        <x:f>IF(OR(M7="",N7=""),"",ROUND((N7-M7)*1440,0))</x:f>
      </x:c>
    </x:row>
    <x:row r="8">
      <x:c r="A8" s="32" t="n">
        <x:v>2</x:v>
      </x:c>
      <x:c r="B8" s="32" t="str">
        <x:v>A. Pre-Implementation</x:v>
      </x:c>
      <x:c r="C8" s="32" t="str">
        <x:v>A02</x:v>
      </x:c>
      <x:c r="D8" s="32" t="str">
        <x:v>Mandatory</x:v>
      </x:c>
      <x:c r="E8" s="32" t="str">
        <x:v>Student / VM</x:v>
      </x:c>
      <x:c r="F8" s="32" t="str">
        <x:v>Confirm the student is on the assigned VM.</x:v>
      </x:c>
      <x:c r="G8" s="32" t="str">
        <x:v>hostnamectl; ip -4 addr; compare with Inventory sheet</x:v>
      </x:c>
      <x:c r="H8" s="32" t="str">
        <x:v>Hostname/IP match the assigned inventory record.</x:v>
      </x:c>
      <x:c r="I8" s="32" t="str">
        <x:v>Never work on another student's VM.</x:v>
      </x:c>
      <x:c r="J8" s="32" t="str">
        <x:v>Not Started</x:v>
      </x:c>
      <x:c r="K8" s="32" t="str">
        <x:v>Student</x:v>
      </x:c>
      <x:c r="L8" s="32" t="n">
        <x:v>10</x:v>
      </x:c>
      <x:c r="M8" s="92"/>
      <x:c r="N8" s="92"/>
      <x:c r="O8" s="32"/>
      <x:c r="P8" s="32"/>
      <x:c r="Q8" s="32" t="str">
        <x:f>IF(OR(M8="",N8=""),"",ROUND((N8-M8)*1440,0))</x:f>
      </x:c>
    </x:row>
    <x:row r="9">
      <x:c r="A9" s="32" t="n">
        <x:v>3</x:v>
      </x:c>
      <x:c r="B9" s="32" t="str">
        <x:v>A. Pre-Implementation</x:v>
      </x:c>
      <x:c r="C9" s="32" t="str">
        <x:v>A03</x:v>
      </x:c>
      <x:c r="D9" s="32" t="str">
        <x:v>Mandatory</x:v>
      </x:c>
      <x:c r="E9" s="32" t="str">
        <x:v>Student account</x:v>
      </x:c>
      <x:c r="F9" s="32" t="str">
        <x:v>Verify root access.</x:v>
      </x:c>
      <x:c r="G9" s="32" t="str">
        <x:v>whoami; id</x:v>
      </x:c>
      <x:c r="H9" s="32" t="str">
        <x:v>whoami=root and uid=0(root).</x:v>
      </x:c>
      <x:c r="I9" s="32" t="str">
        <x:v>All project commands assume direct root login.</x:v>
      </x:c>
      <x:c r="J9" s="32" t="str">
        <x:v>Not Started</x:v>
      </x:c>
      <x:c r="K9" s="32" t="str">
        <x:v>Student</x:v>
      </x:c>
      <x:c r="L9" s="32" t="n">
        <x:v>5</x:v>
      </x:c>
      <x:c r="M9" s="92"/>
      <x:c r="N9" s="92"/>
      <x:c r="O9" s="32"/>
      <x:c r="P9" s="32"/>
      <x:c r="Q9" s="32" t="str">
        <x:f>IF(OR(M9="",N9=""),"",ROUND((N9-M9)*1440,0))</x:f>
      </x:c>
    </x:row>
    <x:row r="10">
      <x:c r="A10" s="32" t="n">
        <x:v>4</x:v>
      </x:c>
      <x:c r="B10" s="32" t="str">
        <x:v>A. Pre-Implementation</x:v>
      </x:c>
      <x:c r="C10" s="32" t="str">
        <x:v>A04</x:v>
      </x:c>
      <x:c r="D10" s="32" t="str">
        <x:v>Mandatory</x:v>
      </x:c>
      <x:c r="E10" s="32" t="str">
        <x:v>VM</x:v>
      </x:c>
      <x:c r="F10" s="32" t="str">
        <x:v>Record baseline resources.</x:v>
      </x:c>
      <x:c r="G10" s="32" t="str">
        <x:v>lscpu; free -h; lsblk; df -h; uptime</x:v>
      </x:c>
      <x:c r="H10" s="32" t="str">
        <x:v>CPU, RAM, disk and load baseline captured.</x:v>
      </x:c>
      <x:c r="I10" s="32" t="str">
        <x:v>Attach output as evidence.</x:v>
      </x:c>
      <x:c r="J10" s="32" t="str">
        <x:v>Not Started</x:v>
      </x:c>
      <x:c r="K10" s="32" t="str">
        <x:v>Student</x:v>
      </x:c>
      <x:c r="L10" s="32" t="n">
        <x:v>10</x:v>
      </x:c>
      <x:c r="M10" s="92"/>
      <x:c r="N10" s="92"/>
      <x:c r="O10" s="32"/>
      <x:c r="P10" s="32"/>
      <x:c r="Q10" s="32" t="str">
        <x:f>IF(OR(M10="",N10=""),"",ROUND((N10-M10)*1440,0))</x:f>
      </x:c>
    </x:row>
    <x:row r="11">
      <x:c r="A11" s="32" t="n">
        <x:v>5</x:v>
      </x:c>
      <x:c r="B11" s="32" t="str">
        <x:v>A. Pre-Implementation</x:v>
      </x:c>
      <x:c r="C11" s="32" t="str">
        <x:v>A05</x:v>
      </x:c>
      <x:c r="D11" s="32" t="str">
        <x:v>Mandatory</x:v>
      </x:c>
      <x:c r="E11" s="32" t="str">
        <x:v>VM</x:v>
      </x:c>
      <x:c r="F11" s="32" t="str">
        <x:v>Check required repositories.</x:v>
      </x:c>
      <x:c r="G11" s="32" t="str">
        <x:v>dnf repolist</x:v>
      </x:c>
      <x:c r="H11" s="32" t="str">
        <x:v>Rocky repositories available.</x:v>
      </x:c>
      <x:c r="I11" s="32" t="str">
        <x:v>Escalate repository failures before package installation.</x:v>
      </x:c>
      <x:c r="J11" s="32" t="str">
        <x:v>Not Started</x:v>
      </x:c>
      <x:c r="K11" s="32" t="str">
        <x:v>Student</x:v>
      </x:c>
      <x:c r="L11" s="32" t="n">
        <x:v>5</x:v>
      </x:c>
      <x:c r="M11" s="92"/>
      <x:c r="N11" s="92"/>
      <x:c r="O11" s="32"/>
      <x:c r="P11" s="32"/>
      <x:c r="Q11" s="32" t="str">
        <x:f>IF(OR(M11="",N11=""),"",ROUND((N11-M11)*1440,0))</x:f>
      </x:c>
    </x:row>
    <x:row r="12">
      <x:c r="A12" s="32" t="n">
        <x:v>6</x:v>
      </x:c>
      <x:c r="B12" s="32" t="str">
        <x:v>A. Pre-Implementation</x:v>
      </x:c>
      <x:c r="C12" s="32" t="str">
        <x:v>A06</x:v>
      </x:c>
      <x:c r="D12" s="32" t="str">
        <x:v>Mandatory</x:v>
      </x:c>
      <x:c r="E12" s="32" t="str">
        <x:v>VM</x:v>
      </x:c>
      <x:c r="F12" s="32" t="str">
        <x:v>Install required packages.</x:v>
      </x:c>
      <x:c r="G12" s="32" t="str">
        <x:v>dnf install -y procps-ng psmisc gcc tree</x:v>
      </x:c>
      <x:c r="H12" s="32" t="str">
        <x:v>All required packages install successfully.</x:v>
      </x:c>
      <x:c r="I12" s="32" t="str">
        <x:v>Use only approved Rocky repositories.</x:v>
      </x:c>
      <x:c r="J12" s="32" t="str">
        <x:v>Not Started</x:v>
      </x:c>
      <x:c r="K12" s="32" t="str">
        <x:v>Student</x:v>
      </x:c>
      <x:c r="L12" s="32" t="n">
        <x:v>15</x:v>
      </x:c>
      <x:c r="M12" s="92"/>
      <x:c r="N12" s="92"/>
      <x:c r="O12" s="32"/>
      <x:c r="P12" s="32" t="str">
        <x:v>D04</x:v>
      </x:c>
      <x:c r="Q12" s="32" t="str">
        <x:f>IF(OR(M12="",N12=""),"",ROUND((N12-M12)*1440,0))</x:f>
      </x:c>
    </x:row>
    <x:row r="13">
      <x:c r="A13" s="32" t="n">
        <x:v>7</x:v>
      </x:c>
      <x:c r="B13" s="32" t="str">
        <x:v>A. Pre-Implementation</x:v>
      </x:c>
      <x:c r="C13" s="32" t="str">
        <x:v>A07</x:v>
      </x:c>
      <x:c r="D13" s="32" t="str">
        <x:v>Mandatory</x:v>
      </x:c>
      <x:c r="E13" s="32" t="str">
        <x:v>VM</x:v>
      </x:c>
      <x:c r="F13" s="32" t="str">
        <x:v>Verify required packages.</x:v>
      </x:c>
      <x:c r="G13" s="32" t="str">
        <x:v>rpm -q procps-ng psmisc gcc tree</x:v>
      </x:c>
      <x:c r="H13" s="32" t="str">
        <x:v>Installed package versions displayed.</x:v>
      </x:c>
      <x:c r="I13" s="32" t="str">
        <x:v>Record versions in evidence.</x:v>
      </x:c>
      <x:c r="J13" s="32" t="str">
        <x:v>Not Started</x:v>
      </x:c>
      <x:c r="K13" s="32" t="str">
        <x:v>Student</x:v>
      </x:c>
      <x:c r="L13" s="32" t="n">
        <x:v>5</x:v>
      </x:c>
      <x:c r="M13" s="92"/>
      <x:c r="N13" s="92"/>
      <x:c r="O13" s="32"/>
      <x:c r="P13" s="32"/>
      <x:c r="Q13" s="32" t="str">
        <x:f>IF(OR(M13="",N13=""),"",ROUND((N13-M13)*1440,0))</x:f>
      </x:c>
    </x:row>
    <x:row r="14">
      <x:c r="A14" s="32" t="n">
        <x:v>8</x:v>
      </x:c>
      <x:c r="B14" s="32" t="str">
        <x:v>A. Pre-Implementation</x:v>
      </x:c>
      <x:c r="C14" s="32" t="str">
        <x:v>A08</x:v>
      </x:c>
      <x:c r="D14" s="32" t="str">
        <x:v>Mandatory</x:v>
      </x:c>
      <x:c r="E14" s="32" t="str">
        <x:v>Xen Orchestra</x:v>
      </x:c>
      <x:c r="F14" s="32" t="str">
        <x:v>Create a pre-change snapshot.</x:v>
      </x:c>
      <x:c r="G14" s="32" t="str">
        <x:v>XO → VM → Snapshots → New snapshot; name &lt;CHANGE_ID&gt;-pre</x:v>
      </x:c>
      <x:c r="H14" s="32" t="str">
        <x:v>Snapshot ID/name recorded in Inventory.</x:v>
      </x:c>
      <x:c r="I14" s="32" t="str">
        <x:v>Snapshot is the preferred full-VM rollback.</x:v>
      </x:c>
      <x:c r="J14" s="32" t="str">
        <x:v>Not Started</x:v>
      </x:c>
      <x:c r="K14" s="32" t="str">
        <x:v>Student / Lab Admin</x:v>
      </x:c>
      <x:c r="L14" s="32" t="n">
        <x:v>10</x:v>
      </x:c>
      <x:c r="M14" s="92"/>
      <x:c r="N14" s="92"/>
      <x:c r="O14" s="32"/>
      <x:c r="P14" s="32" t="str">
        <x:v>D01</x:v>
      </x:c>
      <x:c r="Q14" s="32" t="str">
        <x:f>IF(OR(M14="",N14=""),"",ROUND((N14-M14)*1440,0))</x:f>
      </x:c>
    </x:row>
    <x:row r="15">
      <x:c r="A15" s="32" t="n">
        <x:v>9</x:v>
      </x:c>
      <x:c r="B15" s="32" t="str">
        <x:v>A. Pre-Implementation</x:v>
      </x:c>
      <x:c r="C15" s="32" t="str">
        <x:v>A09</x:v>
      </x:c>
      <x:c r="D15" s="32" t="str">
        <x:v>Mandatory</x:v>
      </x:c>
      <x:c r="E15" s="32" t="str">
        <x:v>VM</x:v>
      </x:c>
      <x:c r="F15" s="32" t="str">
        <x:v>Confirm no conflicting lab processes are running.</x:v>
      </x:c>
      <x:c r="G15" s="32" t="str">
        <x:v>pgrep -af 'report-generator|cpu-worker|parent-child|zombie'</x:v>
      </x:c>
      <x:c r="H15" s="32" t="str">
        <x:v>No old project processes remain.</x:v>
      </x:c>
      <x:c r="I15" s="32" t="str">
        <x:v>Stop old processes before continuing.</x:v>
      </x:c>
      <x:c r="J15" s="32" t="str">
        <x:v>Not Started</x:v>
      </x:c>
      <x:c r="K15" s="32" t="str">
        <x:v>Student</x:v>
      </x:c>
      <x:c r="L15" s="32" t="n">
        <x:v>5</x:v>
      </x:c>
      <x:c r="M15" s="92"/>
      <x:c r="N15" s="92"/>
      <x:c r="O15" s="32"/>
      <x:c r="P15" s="32" t="str">
        <x:v>D02</x:v>
      </x:c>
      <x:c r="Q15" s="32" t="str">
        <x:f>IF(OR(M15="",N15=""),"",ROUND((N15-M15)*1440,0))</x:f>
      </x:c>
    </x:row>
    <x:row r="16">
      <x:c r="A16" s="32" t="n">
        <x:v>10</x:v>
      </x:c>
      <x:c r="B16" s="32" t="str">
        <x:v>A. Pre-Implementation</x:v>
      </x:c>
      <x:c r="C16" s="32" t="str">
        <x:v>A10</x:v>
      </x:c>
      <x:c r="D16" s="32" t="str">
        <x:v>Mandatory</x:v>
      </x:c>
      <x:c r="E16" s="32" t="str">
        <x:v>Business controls</x:v>
      </x:c>
      <x:c r="F16" s="32" t="str">
        <x:v>Confirm evidence location and naming convention.</x:v>
      </x:c>
      <x:c r="G16" s="32" t="str">
        <x:v>Create folder: StudentName/Process-Project/Evidence</x:v>
      </x:c>
      <x:c r="H16" s="32" t="str">
        <x:v>Evidence folder is available.</x:v>
      </x:c>
      <x:c r="I16" s="32" t="str">
        <x:v>Use synthetic bank scenario only.</x:v>
      </x:c>
      <x:c r="J16" s="32" t="str">
        <x:v>Not Started</x:v>
      </x:c>
      <x:c r="K16" s="32" t="str">
        <x:v>Student</x:v>
      </x:c>
      <x:c r="L16" s="32" t="n">
        <x:v>5</x:v>
      </x:c>
      <x:c r="M16" s="92"/>
      <x:c r="N16" s="92"/>
      <x:c r="O16" s="32"/>
      <x:c r="P16" s="32"/>
      <x:c r="Q16" s="32" t="str">
        <x:f>IF(OR(M16="",N16=""),"",ROUND((N16-M16)*1440,0))</x:f>
      </x:c>
    </x:row>
    <x:row r="17">
      <x:c r="A17" s="32" t="n">
        <x:v>11</x:v>
      </x:c>
      <x:c r="B17" s="32" t="str">
        <x:v>A. Pre-Implementation</x:v>
      </x:c>
      <x:c r="C17" s="32" t="str">
        <x:v>A11</x:v>
      </x:c>
      <x:c r="D17" s="32" t="str">
        <x:v>Decision</x:v>
      </x:c>
      <x:c r="E17" s="32" t="str">
        <x:v>Change review</x:v>
      </x:c>
      <x:c r="F17" s="32" t="str">
        <x:v>Conduct Go / No-Go review.</x:v>
      </x:c>
      <x:c r="G17" s="32" t="str">
        <x:v>Review approvals, root access, packages, snapshot and VM assignment.</x:v>
      </x:c>
      <x:c r="H17" s="32" t="str">
        <x:v>GO recorded before B01.</x:v>
      </x:c>
      <x:c r="I17" s="32" t="str">
        <x:v>Any missing mandatory prerequisite results in NO-GO.</x:v>
      </x:c>
      <x:c r="J17" s="32" t="str">
        <x:v>Not Started</x:v>
      </x:c>
      <x:c r="K17" s="32" t="str">
        <x:v>Project Manager</x:v>
      </x:c>
      <x:c r="L17" s="32" t="n">
        <x:v>10</x:v>
      </x:c>
      <x:c r="M17" s="92"/>
      <x:c r="N17" s="92"/>
      <x:c r="O17" s="32"/>
      <x:c r="P17" s="32"/>
      <x:c r="Q17" s="32" t="str">
        <x:f>IF(OR(M17="",N17=""),"",ROUND((N17-M17)*1440,0))</x:f>
      </x:c>
    </x:row>
    <x:row r="18">
      <x:c r="A18" s="32" t="n">
        <x:v>12</x:v>
      </x:c>
      <x:c r="B18" s="32" t="str">
        <x:v>B. Implementation</x:v>
      </x:c>
      <x:c r="C18" s="32" t="str">
        <x:v>B01</x:v>
      </x:c>
      <x:c r="D18" s="32" t="str">
        <x:v>Mandatory</x:v>
      </x:c>
      <x:c r="E18" s="32" t="str">
        <x:v>VM</x:v>
      </x:c>
      <x:c r="F18" s="32" t="str">
        <x:v>Create project directory.</x:v>
      </x:c>
      <x:c r="G18" s="32" t="str">
        <x:v>mkdir -p /opt/process-lab; chown root:root /opt/process-lab; cd /opt/process-lab</x:v>
      </x:c>
      <x:c r="H18" s="32" t="str">
        <x:v>Directory exists and is owned by root.</x:v>
      </x:c>
      <x:c r="I18" s="32" t="str">
        <x:v>Standard project location supports repeatability.</x:v>
      </x:c>
      <x:c r="J18" s="32" t="str">
        <x:v>Not Started</x:v>
      </x:c>
      <x:c r="K18" s="32" t="str">
        <x:v>Student</x:v>
      </x:c>
      <x:c r="L18" s="32" t="n">
        <x:v>5</x:v>
      </x:c>
      <x:c r="M18" s="92"/>
      <x:c r="N18" s="92"/>
      <x:c r="O18" s="32"/>
      <x:c r="P18" s="32" t="str">
        <x:v>D03</x:v>
      </x:c>
      <x:c r="Q18" s="32" t="str">
        <x:f>IF(OR(M18="",N18=""),"",ROUND((N18-M18)*1440,0))</x:f>
      </x:c>
    </x:row>
    <x:row r="19">
      <x:c r="A19" s="32" t="n">
        <x:v>13</x:v>
      </x:c>
      <x:c r="B19" s="32" t="str">
        <x:v>B. Implementation</x:v>
      </x:c>
      <x:c r="C19" s="32" t="str">
        <x:v>B02</x:v>
      </x:c>
      <x:c r="D19" s="32" t="str">
        <x:v>Mandatory</x:v>
      </x:c>
      <x:c r="E19" s="32" t="str">
        <x:v>Report generator</x:v>
      </x:c>
      <x:c r="F19" s="32" t="str">
        <x:v>Create the report-generator script.</x:v>
      </x:c>
      <x:c r="G19" s="32" t="str">
        <x:v>Create /opt/process-lab/report-generator.sh from the approved lab guide.</x:v>
      </x:c>
      <x:c r="H19" s="32" t="str">
        <x:v>Executable script exists.</x:v>
      </x:c>
      <x:c r="I19" s="32" t="str">
        <x:v>Use the controlled script supplied in the FDS/runbook.</x:v>
      </x:c>
      <x:c r="J19" s="32" t="str">
        <x:v>Not Started</x:v>
      </x:c>
      <x:c r="K19" s="32" t="str">
        <x:v>Student</x:v>
      </x:c>
      <x:c r="L19" s="32" t="n">
        <x:v>15</x:v>
      </x:c>
      <x:c r="M19" s="92"/>
      <x:c r="N19" s="92"/>
      <x:c r="O19" s="32"/>
      <x:c r="P19" s="32" t="str">
        <x:v>D03</x:v>
      </x:c>
      <x:c r="Q19" s="32" t="str">
        <x:f>IF(OR(M19="",N19=""),"",ROUND((N19-M19)*1440,0))</x:f>
      </x:c>
    </x:row>
    <x:row r="20">
      <x:c r="A20" s="32" t="n">
        <x:v>14</x:v>
      </x:c>
      <x:c r="B20" s="32" t="str">
        <x:v>B. Implementation</x:v>
      </x:c>
      <x:c r="C20" s="32" t="str">
        <x:v>B03</x:v>
      </x:c>
      <x:c r="D20" s="32" t="str">
        <x:v>Mandatory</x:v>
      </x:c>
      <x:c r="E20" s="32" t="str">
        <x:v>Report generator</x:v>
      </x:c>
      <x:c r="F20" s="32" t="str">
        <x:v>Validate Bash syntax and permissions.</x:v>
      </x:c>
      <x:c r="G20" s="32" t="str">
        <x:v>bash -n /opt/process-lab/report-generator.sh; chmod 755 /opt/process-lab/report-generator.sh</x:v>
      </x:c>
      <x:c r="H20" s="32" t="str">
        <x:v>No syntax errors; executable permission present.</x:v>
      </x:c>
      <x:c r="I20" s="32" t="str">
        <x:v>Do not continue with syntax errors.</x:v>
      </x:c>
      <x:c r="J20" s="32" t="str">
        <x:v>Not Started</x:v>
      </x:c>
      <x:c r="K20" s="32" t="str">
        <x:v>Student</x:v>
      </x:c>
      <x:c r="L20" s="32" t="n">
        <x:v>5</x:v>
      </x:c>
      <x:c r="M20" s="92"/>
      <x:c r="N20" s="92"/>
      <x:c r="O20" s="32"/>
      <x:c r="P20" s="32"/>
      <x:c r="Q20" s="32" t="str">
        <x:f>IF(OR(M20="",N20=""),"",ROUND((N20-M20)*1440,0))</x:f>
      </x:c>
    </x:row>
    <x:row r="21">
      <x:c r="A21" s="32" t="n">
        <x:v>15</x:v>
      </x:c>
      <x:c r="B21" s="32" t="str">
        <x:v>B. Implementation</x:v>
      </x:c>
      <x:c r="C21" s="32" t="str">
        <x:v>B04</x:v>
      </x:c>
      <x:c r="D21" s="32" t="str">
        <x:v>Mandatory</x:v>
      </x:c>
      <x:c r="E21" s="32" t="str">
        <x:v>Shell</x:v>
      </x:c>
      <x:c r="F21" s="32" t="str">
        <x:v>Run the report generator in foreground.</x:v>
      </x:c>
      <x:c r="G21" s="32" t="str">
        <x:v>/opt/process-lab/report-generator.sh</x:v>
      </x:c>
      <x:c r="H21" s="32" t="str">
        <x:v>Terminal remains occupied; log entries are created.</x:v>
      </x:c>
      <x:c r="I21" s="32" t="str">
        <x:v>Use a second terminal for observation.</x:v>
      </x:c>
      <x:c r="J21" s="32" t="str">
        <x:v>Not Started</x:v>
      </x:c>
      <x:c r="K21" s="32" t="str">
        <x:v>Student</x:v>
      </x:c>
      <x:c r="L21" s="32" t="n">
        <x:v>10</x:v>
      </x:c>
      <x:c r="M21" s="92"/>
      <x:c r="N21" s="92"/>
      <x:c r="O21" s="32"/>
      <x:c r="P21" s="32" t="str">
        <x:v>D02</x:v>
      </x:c>
      <x:c r="Q21" s="32" t="str">
        <x:f>IF(OR(M21="",N21=""),"",ROUND((N21-M21)*1440,0))</x:f>
      </x:c>
    </x:row>
    <x:row r="22">
      <x:c r="A22" s="32" t="n">
        <x:v>16</x:v>
      </x:c>
      <x:c r="B22" s="32" t="str">
        <x:v>B. Implementation</x:v>
      </x:c>
      <x:c r="C22" s="32" t="str">
        <x:v>B05</x:v>
      </x:c>
      <x:c r="D22" s="32" t="str">
        <x:v>Mandatory</x:v>
      </x:c>
      <x:c r="E22" s="32" t="str">
        <x:v>Process monitoring</x:v>
      </x:c>
      <x:c r="F22" s="32" t="str">
        <x:v>Identify the foreground process.</x:v>
      </x:c>
      <x:c r="G22" s="32" t="str">
        <x:v>pgrep -af report-generator; ps -o user,pid,ppid,stat,etime,cmd -p &lt;PID&gt;</x:v>
      </x:c>
      <x:c r="H22" s="32" t="str">
        <x:v>PID, PPID, owner and state identified.</x:v>
      </x:c>
      <x:c r="I22" s="32" t="str">
        <x:v>Record PID and evidence.</x:v>
      </x:c>
      <x:c r="J22" s="32" t="str">
        <x:v>Not Started</x:v>
      </x:c>
      <x:c r="K22" s="32" t="str">
        <x:v>Student</x:v>
      </x:c>
      <x:c r="L22" s="32" t="n">
        <x:v>10</x:v>
      </x:c>
      <x:c r="M22" s="92"/>
      <x:c r="N22" s="92"/>
      <x:c r="O22" s="32"/>
      <x:c r="P22" s="32"/>
      <x:c r="Q22" s="32" t="str">
        <x:f>IF(OR(M22="",N22=""),"",ROUND((N22-M22)*1440,0))</x:f>
      </x:c>
    </x:row>
    <x:row r="23">
      <x:c r="A23" s="32" t="n">
        <x:v>17</x:v>
      </x:c>
      <x:c r="B23" s="32" t="str">
        <x:v>B. Implementation</x:v>
      </x:c>
      <x:c r="C23" s="32" t="str">
        <x:v>B06</x:v>
      </x:c>
      <x:c r="D23" s="32" t="str">
        <x:v>Mandatory</x:v>
      </x:c>
      <x:c r="E23" s="32" t="str">
        <x:v>Shell</x:v>
      </x:c>
      <x:c r="F23" s="32" t="str">
        <x:v>Stop the foreground process with Ctrl+C.</x:v>
      </x:c>
      <x:c r="G23" s="32" t="str">
        <x:v>Ctrl+C; pgrep -af report-generator</x:v>
      </x:c>
      <x:c r="H23" s="32" t="str">
        <x:v>Process stops and is no longer listed.</x:v>
      </x:c>
      <x:c r="I23" s="32" t="str">
        <x:v>Ctrl+C normally sends SIGINT.</x:v>
      </x:c>
      <x:c r="J23" s="32" t="str">
        <x:v>Not Started</x:v>
      </x:c>
      <x:c r="K23" s="32" t="str">
        <x:v>Student</x:v>
      </x:c>
      <x:c r="L23" s="32" t="n">
        <x:v>5</x:v>
      </x:c>
      <x:c r="M23" s="92"/>
      <x:c r="N23" s="92"/>
      <x:c r="O23" s="32"/>
      <x:c r="P23" s="32"/>
      <x:c r="Q23" s="32" t="str">
        <x:f>IF(OR(M23="",N23=""),"",ROUND((N23-M23)*1440,0))</x:f>
      </x:c>
    </x:row>
    <x:row r="24">
      <x:c r="A24" s="32" t="n">
        <x:v>18</x:v>
      </x:c>
      <x:c r="B24" s="32" t="str">
        <x:v>B. Implementation</x:v>
      </x:c>
      <x:c r="C24" s="32" t="str">
        <x:v>B07</x:v>
      </x:c>
      <x:c r="D24" s="32" t="str">
        <x:v>Mandatory</x:v>
      </x:c>
      <x:c r="E24" s="32" t="str">
        <x:v>Shell jobs</x:v>
      </x:c>
      <x:c r="F24" s="32" t="str">
        <x:v>Start report generator in background.</x:v>
      </x:c>
      <x:c r="G24" s="32" t="str">
        <x:v>/opt/process-lab/report-generator.sh &amp;; jobs -l</x:v>
      </x:c>
      <x:c r="H24" s="32" t="str">
        <x:v>Job number and PID displayed.</x:v>
      </x:c>
      <x:c r="I24" s="32" t="str">
        <x:v>Explain job number versus PID.</x:v>
      </x:c>
      <x:c r="J24" s="32" t="str">
        <x:v>Not Started</x:v>
      </x:c>
      <x:c r="K24" s="32" t="str">
        <x:v>Student</x:v>
      </x:c>
      <x:c r="L24" s="32" t="n">
        <x:v>10</x:v>
      </x:c>
      <x:c r="M24" s="92"/>
      <x:c r="N24" s="92"/>
      <x:c r="O24" s="32"/>
      <x:c r="P24" s="32" t="str">
        <x:v>D02</x:v>
      </x:c>
      <x:c r="Q24" s="32" t="str">
        <x:f>IF(OR(M24="",N24=""),"",ROUND((N24-M24)*1440,0))</x:f>
      </x:c>
    </x:row>
    <x:row r="25">
      <x:c r="A25" s="32" t="n">
        <x:v>19</x:v>
      </x:c>
      <x:c r="B25" s="32" t="str">
        <x:v>B. Implementation</x:v>
      </x:c>
      <x:c r="C25" s="32" t="str">
        <x:v>B08</x:v>
      </x:c>
      <x:c r="D25" s="32" t="str">
        <x:v>Mandatory</x:v>
      </x:c>
      <x:c r="E25" s="32" t="str">
        <x:v>Shell jobs</x:v>
      </x:c>
      <x:c r="F25" s="32" t="str">
        <x:v>Move job foreground, suspend and resume.</x:v>
      </x:c>
      <x:c r="G25" s="32" t="str">
        <x:v>fg %1; Ctrl+Z; jobs -l; bg %1</x:v>
      </x:c>
      <x:c r="H25" s="32" t="str">
        <x:v>Job changes between foreground, stopped and background states.</x:v>
      </x:c>
      <x:c r="I25" s="32" t="str">
        <x:v>Stopped state normally includes T.</x:v>
      </x:c>
      <x:c r="J25" s="32" t="str">
        <x:v>Not Started</x:v>
      </x:c>
      <x:c r="K25" s="32" t="str">
        <x:v>Student</x:v>
      </x:c>
      <x:c r="L25" s="32" t="n">
        <x:v>15</x:v>
      </x:c>
      <x:c r="M25" s="92"/>
      <x:c r="N25" s="92"/>
      <x:c r="O25" s="32"/>
      <x:c r="P25" s="32"/>
      <x:c r="Q25" s="32" t="str">
        <x:f>IF(OR(M25="",N25=""),"",ROUND((N25-M25)*1440,0))</x:f>
      </x:c>
    </x:row>
    <x:row r="26">
      <x:c r="A26" s="32" t="n">
        <x:v>20</x:v>
      </x:c>
      <x:c r="B26" s="32" t="str">
        <x:v>B. Implementation</x:v>
      </x:c>
      <x:c r="C26" s="32" t="str">
        <x:v>B09</x:v>
      </x:c>
      <x:c r="D26" s="32" t="str">
        <x:v>Mandatory</x:v>
      </x:c>
      <x:c r="E26" s="32" t="str">
        <x:v>Signals</x:v>
      </x:c>
      <x:c r="F26" s="32" t="str">
        <x:v>Send SIGSTOP and confirm state.</x:v>
      </x:c>
      <x:c r="G26" s="32" t="str">
        <x:v>kill -STOP &lt;PID&gt;; ps -o pid,ppid,stat,cmd -p &lt;PID&gt;</x:v>
      </x:c>
      <x:c r="H26" s="32" t="str">
        <x:v>State includes T and log output pauses.</x:v>
      </x:c>
      <x:c r="I26" s="32" t="str">
        <x:v>Record before/after log timestamps.</x:v>
      </x:c>
      <x:c r="J26" s="32" t="str">
        <x:v>Not Started</x:v>
      </x:c>
      <x:c r="K26" s="32" t="str">
        <x:v>Student</x:v>
      </x:c>
      <x:c r="L26" s="32" t="n">
        <x:v>10</x:v>
      </x:c>
      <x:c r="M26" s="92"/>
      <x:c r="N26" s="92"/>
      <x:c r="O26" s="32"/>
      <x:c r="P26" s="32"/>
      <x:c r="Q26" s="32" t="str">
        <x:f>IF(OR(M26="",N26=""),"",ROUND((N26-M26)*1440,0))</x:f>
      </x:c>
    </x:row>
    <x:row r="27">
      <x:c r="A27" s="32" t="n">
        <x:v>21</x:v>
      </x:c>
      <x:c r="B27" s="32" t="str">
        <x:v>B. Implementation</x:v>
      </x:c>
      <x:c r="C27" s="32" t="str">
        <x:v>B10</x:v>
      </x:c>
      <x:c r="D27" s="32" t="str">
        <x:v>Mandatory</x:v>
      </x:c>
      <x:c r="E27" s="32" t="str">
        <x:v>Signals</x:v>
      </x:c>
      <x:c r="F27" s="32" t="str">
        <x:v>Resume with SIGCONT.</x:v>
      </x:c>
      <x:c r="G27" s="32" t="str">
        <x:v>kill -CONT &lt;PID&gt;; sleep 12; tail -n 5 /tmp/report-generator.log</x:v>
      </x:c>
      <x:c r="H27" s="32" t="str">
        <x:v>Process resumes and new log entries appear.</x:v>
      </x:c>
      <x:c r="I27" s="32" t="str">
        <x:v>SIGCONT resumes a stopped process.</x:v>
      </x:c>
      <x:c r="J27" s="32" t="str">
        <x:v>Not Started</x:v>
      </x:c>
      <x:c r="K27" s="32" t="str">
        <x:v>Student</x:v>
      </x:c>
      <x:c r="L27" s="32" t="n">
        <x:v>10</x:v>
      </x:c>
      <x:c r="M27" s="92"/>
      <x:c r="N27" s="92"/>
      <x:c r="O27" s="32"/>
      <x:c r="P27" s="32"/>
      <x:c r="Q27" s="32" t="str">
        <x:f>IF(OR(M27="",N27=""),"",ROUND((N27-M27)*1440,0))</x:f>
      </x:c>
    </x:row>
    <x:row r="28">
      <x:c r="A28" s="32" t="n">
        <x:v>22</x:v>
      </x:c>
      <x:c r="B28" s="32" t="str">
        <x:v>B. Implementation</x:v>
      </x:c>
      <x:c r="C28" s="32" t="str">
        <x:v>B11</x:v>
      </x:c>
      <x:c r="D28" s="32" t="str">
        <x:v>Mandatory</x:v>
      </x:c>
      <x:c r="E28" s="32" t="str">
        <x:v>Signals</x:v>
      </x:c>
      <x:c r="F28" s="32" t="str">
        <x:v>Terminate gracefully with SIGTERM.</x:v>
      </x:c>
      <x:c r="G28" s="32" t="str">
        <x:v>kill -15 &lt;PID&gt;; ps -p &lt;PID&gt;</x:v>
      </x:c>
      <x:c r="H28" s="32" t="str">
        <x:v>Process terminates.</x:v>
      </x:c>
      <x:c r="I28" s="32" t="str">
        <x:v>SIGTERM should normally be attempted first.</x:v>
      </x:c>
      <x:c r="J28" s="32" t="str">
        <x:v>Not Started</x:v>
      </x:c>
      <x:c r="K28" s="32" t="str">
        <x:v>Student</x:v>
      </x:c>
      <x:c r="L28" s="32" t="n">
        <x:v>10</x:v>
      </x:c>
      <x:c r="M28" s="92"/>
      <x:c r="N28" s="92"/>
      <x:c r="O28" s="32"/>
      <x:c r="P28" s="32"/>
      <x:c r="Q28" s="32" t="str">
        <x:f>IF(OR(M28="",N28=""),"",ROUND((N28-M28)*1440,0))</x:f>
      </x:c>
    </x:row>
    <x:row r="29">
      <x:c r="A29" s="32" t="n">
        <x:v>23</x:v>
      </x:c>
      <x:c r="B29" s="32" t="str">
        <x:v>B. Implementation</x:v>
      </x:c>
      <x:c r="C29" s="32" t="str">
        <x:v>B12</x:v>
      </x:c>
      <x:c r="D29" s="32" t="str">
        <x:v>Mandatory</x:v>
      </x:c>
      <x:c r="E29" s="32" t="str">
        <x:v>Signals</x:v>
      </x:c>
      <x:c r="F29" s="32" t="str">
        <x:v>Demonstrate forced termination with SIGKILL.</x:v>
      </x:c>
      <x:c r="G29" s="32" t="str">
        <x:v>Start script; kill -9 &lt;PID&gt;; ps -p &lt;PID&gt;</x:v>
      </x:c>
      <x:c r="H29" s="32" t="str">
        <x:v>Process is immediately removed.</x:v>
      </x:c>
      <x:c r="I29" s="32" t="str">
        <x:v>Use only for demonstration or unresponsive processes.</x:v>
      </x:c>
      <x:c r="J29" s="32" t="str">
        <x:v>Not Started</x:v>
      </x:c>
      <x:c r="K29" s="32" t="str">
        <x:v>Student</x:v>
      </x:c>
      <x:c r="L29" s="32" t="n">
        <x:v>10</x:v>
      </x:c>
      <x:c r="M29" s="92"/>
      <x:c r="N29" s="92"/>
      <x:c r="O29" s="32"/>
      <x:c r="P29" s="32"/>
      <x:c r="Q29" s="32" t="str">
        <x:f>IF(OR(M29="",N29=""),"",ROUND((N29-M29)*1440,0))</x:f>
      </x:c>
    </x:row>
    <x:row r="30">
      <x:c r="A30" s="32" t="n">
        <x:v>24</x:v>
      </x:c>
      <x:c r="B30" s="32" t="str">
        <x:v>B. Implementation</x:v>
      </x:c>
      <x:c r="C30" s="32" t="str">
        <x:v>B13</x:v>
      </x:c>
      <x:c r="D30" s="32" t="str">
        <x:v>Mandatory</x:v>
      </x:c>
      <x:c r="E30" s="32" t="str">
        <x:v>CPU worker</x:v>
      </x:c>
      <x:c r="F30" s="32" t="str">
        <x:v>Create and validate cpu-worker.sh.</x:v>
      </x:c>
      <x:c r="G30" s="32" t="str">
        <x:v>Create script; bash -n /opt/process-lab/cpu-worker.sh; chmod 755 ...</x:v>
      </x:c>
      <x:c r="H30" s="32" t="str">
        <x:v>CPU worker is executable and syntax-valid.</x:v>
      </x:c>
      <x:c r="I30" s="32" t="str">
        <x:v>Run only one worker.</x:v>
      </x:c>
      <x:c r="J30" s="32" t="str">
        <x:v>Not Started</x:v>
      </x:c>
      <x:c r="K30" s="32" t="str">
        <x:v>Student</x:v>
      </x:c>
      <x:c r="L30" s="32" t="n">
        <x:v>15</x:v>
      </x:c>
      <x:c r="M30" s="92"/>
      <x:c r="N30" s="92"/>
      <x:c r="O30" s="32"/>
      <x:c r="P30" s="32" t="str">
        <x:v>D02</x:v>
      </x:c>
      <x:c r="Q30" s="32" t="str">
        <x:f>IF(OR(M30="",N30=""),"",ROUND((N30-M30)*1440,0))</x:f>
      </x:c>
    </x:row>
    <x:row r="31">
      <x:c r="A31" s="32" t="n">
        <x:v>25</x:v>
      </x:c>
      <x:c r="B31" s="32" t="str">
        <x:v>B. Implementation</x:v>
      </x:c>
      <x:c r="C31" s="32" t="str">
        <x:v>B14</x:v>
      </x:c>
      <x:c r="D31" s="32" t="str">
        <x:v>Mandatory</x:v>
      </x:c>
      <x:c r="E31" s="32" t="str">
        <x:v>CPU worker</x:v>
      </x:c>
      <x:c r="F31" s="32" t="str">
        <x:v>Start the CPU worker and save its PID.</x:v>
      </x:c>
      <x:c r="G31" s="32" t="str">
        <x:v>/opt/process-lab/cpu-worker.sh &amp;; CPU_PID=$!; echo $CPU_PID</x:v>
      </x:c>
      <x:c r="H31" s="32" t="str">
        <x:v>CPU worker PID recorded.</x:v>
      </x:c>
      <x:c r="I31" s="32" t="str">
        <x:v>This deliberately consumes one CPU core.</x:v>
      </x:c>
      <x:c r="J31" s="32" t="str">
        <x:v>Not Started</x:v>
      </x:c>
      <x:c r="K31" s="32" t="str">
        <x:v>Student</x:v>
      </x:c>
      <x:c r="L31" s="32" t="n">
        <x:v>5</x:v>
      </x:c>
      <x:c r="M31" s="92"/>
      <x:c r="N31" s="92"/>
      <x:c r="O31" s="32"/>
      <x:c r="P31" s="32" t="str">
        <x:v>D02</x:v>
      </x:c>
      <x:c r="Q31" s="32" t="str">
        <x:f>IF(OR(M31="",N31=""),"",ROUND((N31-M31)*1440,0))</x:f>
      </x:c>
    </x:row>
    <x:row r="32">
      <x:c r="A32" s="32" t="n">
        <x:v>26</x:v>
      </x:c>
      <x:c r="B32" s="32" t="str">
        <x:v>B. Implementation</x:v>
      </x:c>
      <x:c r="C32" s="32" t="str">
        <x:v>B15</x:v>
      </x:c>
      <x:c r="D32" s="32" t="str">
        <x:v>Mandatory</x:v>
      </x:c>
      <x:c r="E32" s="32" t="str">
        <x:v>Monitoring</x:v>
      </x:c>
      <x:c r="F32" s="32" t="str">
        <x:v>Identify the high-CPU process.</x:v>
      </x:c>
      <x:c r="G32" s="32" t="str">
        <x:v>top; ps -eo pid,ppid,user,stat,%cpu,%mem,ni,cmd --sort=-%cpu | head</x:v>
      </x:c>
      <x:c r="H32" s="32" t="str">
        <x:v>CPU worker appears near top of list.</x:v>
      </x:c>
      <x:c r="I32" s="32" t="str">
        <x:v>Capture evidence before remediation.</x:v>
      </x:c>
      <x:c r="J32" s="32" t="str">
        <x:v>Not Started</x:v>
      </x:c>
      <x:c r="K32" s="32" t="str">
        <x:v>Student</x:v>
      </x:c>
      <x:c r="L32" s="32" t="n">
        <x:v>10</x:v>
      </x:c>
      <x:c r="M32" s="92"/>
      <x:c r="N32" s="92"/>
      <x:c r="O32" s="32"/>
      <x:c r="P32" s="32"/>
      <x:c r="Q32" s="32" t="str">
        <x:f>IF(OR(M32="",N32=""),"",ROUND((N32-M32)*1440,0))</x:f>
      </x:c>
    </x:row>
    <x:row r="33">
      <x:c r="A33" s="32" t="n">
        <x:v>27</x:v>
      </x:c>
      <x:c r="B33" s="32" t="str">
        <x:v>B. Implementation</x:v>
      </x:c>
      <x:c r="C33" s="32" t="str">
        <x:v>B16</x:v>
      </x:c>
      <x:c r="D33" s="32" t="str">
        <x:v>Mandatory</x:v>
      </x:c>
      <x:c r="E33" s="32" t="str">
        <x:v>Priority</x:v>
      </x:c>
      <x:c r="F33" s="32" t="str">
        <x:v>Change running priority.</x:v>
      </x:c>
      <x:c r="G33" s="32" t="str">
        <x:v>renice 10 -p &lt;CPU_PID&gt;; ps -o pid,ni,pri,%cpu,cmd -p &lt;CPU_PID&gt;</x:v>
      </x:c>
      <x:c r="H33" s="32" t="str">
        <x:v>Nice value becomes 10.</x:v>
      </x:c>
      <x:c r="I33" s="32" t="str">
        <x:v>Higher nice value means lower scheduling priority.</x:v>
      </x:c>
      <x:c r="J33" s="32" t="str">
        <x:v>Not Started</x:v>
      </x:c>
      <x:c r="K33" s="32" t="str">
        <x:v>Student</x:v>
      </x:c>
      <x:c r="L33" s="32" t="n">
        <x:v>10</x:v>
      </x:c>
      <x:c r="M33" s="92"/>
      <x:c r="N33" s="92"/>
      <x:c r="O33" s="32"/>
      <x:c r="P33" s="32"/>
      <x:c r="Q33" s="32" t="str">
        <x:f>IF(OR(M33="",N33=""),"",ROUND((N33-M33)*1440,0))</x:f>
      </x:c>
    </x:row>
    <x:row r="34">
      <x:c r="A34" s="32" t="n">
        <x:v>28</x:v>
      </x:c>
      <x:c r="B34" s="32" t="str">
        <x:v>B. Implementation</x:v>
      </x:c>
      <x:c r="C34" s="32" t="str">
        <x:v>B17</x:v>
      </x:c>
      <x:c r="D34" s="32" t="str">
        <x:v>Mandatory</x:v>
      </x:c>
      <x:c r="E34" s="32" t="str">
        <x:v>Priority</x:v>
      </x:c>
      <x:c r="F34" s="32" t="str">
        <x:v>Start a process with nice value 15.</x:v>
      </x:c>
      <x:c r="G34" s="32" t="str">
        <x:v>nice -n 15 /opt/process-lab/cpu-worker.sh &amp;</x:v>
      </x:c>
      <x:c r="H34" s="32" t="str">
        <x:v>New process shows NI=15.</x:v>
      </x:c>
      <x:c r="I34" s="32" t="str">
        <x:v>Stop both workers after comparison.</x:v>
      </x:c>
      <x:c r="J34" s="32" t="str">
        <x:v>Not Started</x:v>
      </x:c>
      <x:c r="K34" s="32" t="str">
        <x:v>Student</x:v>
      </x:c>
      <x:c r="L34" s="32" t="n">
        <x:v>10</x:v>
      </x:c>
      <x:c r="M34" s="92"/>
      <x:c r="N34" s="92"/>
      <x:c r="O34" s="32"/>
      <x:c r="P34" s="32"/>
      <x:c r="Q34" s="32" t="str">
        <x:f>IF(OR(M34="",N34=""),"",ROUND((N34-M34)*1440,0))</x:f>
      </x:c>
    </x:row>
    <x:row r="35">
      <x:c r="A35" s="32" t="n">
        <x:v>29</x:v>
      </x:c>
      <x:c r="B35" s="32" t="str">
        <x:v>B. Implementation</x:v>
      </x:c>
      <x:c r="C35" s="32" t="str">
        <x:v>B18</x:v>
      </x:c>
      <x:c r="D35" s="32" t="str">
        <x:v>Mandatory</x:v>
      </x:c>
      <x:c r="E35" s="32" t="str">
        <x:v>CPU worker</x:v>
      </x:c>
      <x:c r="F35" s="32" t="str">
        <x:v>Stop all CPU workers.</x:v>
      </x:c>
      <x:c r="G35" s="32" t="str">
        <x:v>pkill -TERM -f /opt/process-lab/cpu-worker.sh; pgrep -af cpu-worker</x:v>
      </x:c>
      <x:c r="H35" s="32" t="str">
        <x:v>No CPU worker remains.</x:v>
      </x:c>
      <x:c r="I35" s="32" t="str">
        <x:v>Use SIGKILL only if required.</x:v>
      </x:c>
      <x:c r="J35" s="32" t="str">
        <x:v>Not Started</x:v>
      </x:c>
      <x:c r="K35" s="32" t="str">
        <x:v>Student</x:v>
      </x:c>
      <x:c r="L35" s="32" t="n">
        <x:v>5</x:v>
      </x:c>
      <x:c r="M35" s="92"/>
      <x:c r="N35" s="92"/>
      <x:c r="O35" s="32"/>
      <x:c r="P35" s="32" t="str">
        <x:v>D02</x:v>
      </x:c>
      <x:c r="Q35" s="32" t="str">
        <x:f>IF(OR(M35="",N35=""),"",ROUND((N35-M35)*1440,0))</x:f>
      </x:c>
    </x:row>
    <x:row r="36">
      <x:c r="A36" s="32" t="n">
        <x:v>30</x:v>
      </x:c>
      <x:c r="B36" s="32" t="str">
        <x:v>B. Implementation</x:v>
      </x:c>
      <x:c r="C36" s="32" t="str">
        <x:v>B19</x:v>
      </x:c>
      <x:c r="D36" s="32" t="str">
        <x:v>Mandatory</x:v>
      </x:c>
      <x:c r="E36" s="32" t="str">
        <x:v>nohup</x:v>
      </x:c>
      <x:c r="F36" s="32" t="str">
        <x:v>Start report generator with nohup.</x:v>
      </x:c>
      <x:c r="G36" s="32" t="str">
        <x:v>nohup /opt/process-lab/report-generator.sh &gt; /tmp/report-output.log 2&gt;&amp;1 &amp;</x:v>
      </x:c>
      <x:c r="H36" s="32" t="str">
        <x:v>Process starts and PID is recorded.</x:v>
      </x:c>
      <x:c r="I36" s="32" t="str">
        <x:v>Save PID in /tmp/nohup-report.pid.</x:v>
      </x:c>
      <x:c r="J36" s="32" t="str">
        <x:v>Not Started</x:v>
      </x:c>
      <x:c r="K36" s="32" t="str">
        <x:v>Student</x:v>
      </x:c>
      <x:c r="L36" s="32" t="n">
        <x:v>10</x:v>
      </x:c>
      <x:c r="M36" s="92"/>
      <x:c r="N36" s="92"/>
      <x:c r="O36" s="32"/>
      <x:c r="P36" s="32" t="str">
        <x:v>D02</x:v>
      </x:c>
      <x:c r="Q36" s="32" t="str">
        <x:f>IF(OR(M36="",N36=""),"",ROUND((N36-M36)*1440,0))</x:f>
      </x:c>
    </x:row>
    <x:row r="37">
      <x:c r="A37" s="32" t="n">
        <x:v>31</x:v>
      </x:c>
      <x:c r="B37" s="32" t="str">
        <x:v>B. Implementation</x:v>
      </x:c>
      <x:c r="C37" s="32" t="str">
        <x:v>B20</x:v>
      </x:c>
      <x:c r="D37" s="32" t="str">
        <x:v>Mandatory</x:v>
      </x:c>
      <x:c r="E37" s="32" t="str">
        <x:v>SSH session</x:v>
      </x:c>
      <x:c r="F37" s="32" t="str">
        <x:v>Test that nohup survives logout.</x:v>
      </x:c>
      <x:c r="G37" s="32" t="str">
        <x:v>exit; reconnect; ps -p $(cat /tmp/nohup-report.pid)</x:v>
      </x:c>
      <x:c r="H37" s="32" t="str">
        <x:v>Process still running after reconnect.</x:v>
      </x:c>
      <x:c r="I37" s="32" t="str">
        <x:v>Use Xen Orchestra console if needed.</x:v>
      </x:c>
      <x:c r="J37" s="32" t="str">
        <x:v>Not Started</x:v>
      </x:c>
      <x:c r="K37" s="32" t="str">
        <x:v>Student</x:v>
      </x:c>
      <x:c r="L37" s="32" t="n">
        <x:v>15</x:v>
      </x:c>
      <x:c r="M37" s="92"/>
      <x:c r="N37" s="92"/>
      <x:c r="O37" s="32"/>
      <x:c r="P37" s="32"/>
      <x:c r="Q37" s="32" t="str">
        <x:f>IF(OR(M37="",N37=""),"",ROUND((N37-M37)*1440,0))</x:f>
      </x:c>
    </x:row>
    <x:row r="38">
      <x:c r="A38" s="32" t="n">
        <x:v>32</x:v>
      </x:c>
      <x:c r="B38" s="32" t="str">
        <x:v>B. Implementation</x:v>
      </x:c>
      <x:c r="C38" s="32" t="str">
        <x:v>B21</x:v>
      </x:c>
      <x:c r="D38" s="32" t="str">
        <x:v>Mandatory</x:v>
      </x:c>
      <x:c r="E38" s="32" t="str">
        <x:v>/proc</x:v>
      </x:c>
      <x:c r="F38" s="32" t="str">
        <x:v>Inspect process status, command line, file descriptors and limits.</x:v>
      </x:c>
      <x:c r="G38" s="32" t="str">
        <x:v>cat /proc/&lt;PID&gt;/status; tr '\0' ' ' &lt; /proc/&lt;PID&gt;/cmdline; ls -l /proc/&lt;PID&gt;/fd; cat /proc/&lt;PID&gt;/limits</x:v>
      </x:c>
      <x:c r="H38" s="32" t="str">
        <x:v>Required process details recorded.</x:v>
      </x:c>
      <x:c r="I38" s="32" t="str">
        <x:v>Do not expose sensitive environment variables.</x:v>
      </x:c>
      <x:c r="J38" s="32" t="str">
        <x:v>Not Started</x:v>
      </x:c>
      <x:c r="K38" s="32" t="str">
        <x:v>Student</x:v>
      </x:c>
      <x:c r="L38" s="32" t="n">
        <x:v>20</x:v>
      </x:c>
      <x:c r="M38" s="92"/>
      <x:c r="N38" s="92"/>
      <x:c r="O38" s="32"/>
      <x:c r="P38" s="32"/>
      <x:c r="Q38" s="32" t="str">
        <x:f>IF(OR(M38="",N38=""),"",ROUND((N38-M38)*1440,0))</x:f>
      </x:c>
    </x:row>
    <x:row r="39">
      <x:c r="A39" s="32" t="n">
        <x:v>33</x:v>
      </x:c>
      <x:c r="B39" s="32" t="str">
        <x:v>B. Implementation</x:v>
      </x:c>
      <x:c r="C39" s="32" t="str">
        <x:v>B22</x:v>
      </x:c>
      <x:c r="D39" s="32" t="str">
        <x:v>Mandatory</x:v>
      </x:c>
      <x:c r="E39" s="32" t="str">
        <x:v>Parent-child</x:v>
      </x:c>
      <x:c r="F39" s="32" t="str">
        <x:v>Create and run parent-child.sh.</x:v>
      </x:c>
      <x:c r="G39" s="32" t="str">
        <x:v>Create script; chmod 755; /opt/process-lab/parent-child.sh &amp;</x:v>
      </x:c>
      <x:c r="H39" s="32" t="str">
        <x:v>Parent and two sleep children run.</x:v>
      </x:c>
      <x:c r="I39" s="32" t="str">
        <x:v>Record parent PID.</x:v>
      </x:c>
      <x:c r="J39" s="32" t="str">
        <x:v>Not Started</x:v>
      </x:c>
      <x:c r="K39" s="32" t="str">
        <x:v>Student</x:v>
      </x:c>
      <x:c r="L39" s="32" t="n">
        <x:v>15</x:v>
      </x:c>
      <x:c r="M39" s="92"/>
      <x:c r="N39" s="92"/>
      <x:c r="O39" s="32"/>
      <x:c r="P39" s="32" t="str">
        <x:v>D02</x:v>
      </x:c>
      <x:c r="Q39" s="32" t="str">
        <x:f>IF(OR(M39="",N39=""),"",ROUND((N39-M39)*1440,0))</x:f>
      </x:c>
    </x:row>
    <x:row r="40">
      <x:c r="A40" s="32" t="n">
        <x:v>34</x:v>
      </x:c>
      <x:c r="B40" s="32" t="str">
        <x:v>B. Implementation</x:v>
      </x:c>
      <x:c r="C40" s="32" t="str">
        <x:v>B23</x:v>
      </x:c>
      <x:c r="D40" s="32" t="str">
        <x:v>Mandatory</x:v>
      </x:c>
      <x:c r="E40" s="32" t="str">
        <x:v>Process tree</x:v>
      </x:c>
      <x:c r="F40" s="32" t="str">
        <x:v>Display the hierarchy.</x:v>
      </x:c>
      <x:c r="G40" s="32" t="str">
        <x:v>pstree -p &lt;PARENT_PID&gt;; pgrep -P &lt;PARENT_PID&gt; -a</x:v>
      </x:c>
      <x:c r="H40" s="32" t="str">
        <x:v>Parent-child relationship is visible.</x:v>
      </x:c>
      <x:c r="I40" s="32" t="str">
        <x:v>Include screenshot/output.</x:v>
      </x:c>
      <x:c r="J40" s="32" t="str">
        <x:v>Not Started</x:v>
      </x:c>
      <x:c r="K40" s="32" t="str">
        <x:v>Student</x:v>
      </x:c>
      <x:c r="L40" s="32" t="n">
        <x:v>10</x:v>
      </x:c>
      <x:c r="M40" s="92"/>
      <x:c r="N40" s="92"/>
      <x:c r="O40" s="32"/>
      <x:c r="P40" s="32"/>
      <x:c r="Q40" s="32" t="str">
        <x:f>IF(OR(M40="",N40=""),"",ROUND((N40-M40)*1440,0))</x:f>
      </x:c>
    </x:row>
    <x:row r="41">
      <x:c r="A41" s="32" t="n">
        <x:v>35</x:v>
      </x:c>
      <x:c r="B41" s="32" t="str">
        <x:v>B. Implementation</x:v>
      </x:c>
      <x:c r="C41" s="32" t="str">
        <x:v>B24</x:v>
      </x:c>
      <x:c r="D41" s="32" t="str">
        <x:v>Mandatory</x:v>
      </x:c>
      <x:c r="E41" s="32" t="str">
        <x:v>Zombie program</x:v>
      </x:c>
      <x:c r="F41" s="32" t="str">
        <x:v>Create and compile zombie.c.</x:v>
      </x:c>
      <x:c r="G41" s="32" t="str">
        <x:v>gcc /opt/process-lab/zombie.c -o /opt/process-lab/zombie</x:v>
      </x:c>
      <x:c r="H41" s="32" t="str">
        <x:v>Executable is produced.</x:v>
      </x:c>
      <x:c r="I41" s="32" t="str">
        <x:v>gcc dependency must be installed.</x:v>
      </x:c>
      <x:c r="J41" s="32" t="str">
        <x:v>Not Started</x:v>
      </x:c>
      <x:c r="K41" s="32" t="str">
        <x:v>Student</x:v>
      </x:c>
      <x:c r="L41" s="32" t="n">
        <x:v>15</x:v>
      </x:c>
      <x:c r="M41" s="92"/>
      <x:c r="N41" s="92"/>
      <x:c r="O41" s="32"/>
      <x:c r="P41" s="32" t="str">
        <x:v>D03</x:v>
      </x:c>
      <x:c r="Q41" s="32" t="str">
        <x:f>IF(OR(M41="",N41=""),"",ROUND((N41-M41)*1440,0))</x:f>
      </x:c>
    </x:row>
    <x:row r="42">
      <x:c r="A42" s="32" t="n">
        <x:v>36</x:v>
      </x:c>
      <x:c r="B42" s="32" t="str">
        <x:v>B. Implementation</x:v>
      </x:c>
      <x:c r="C42" s="32" t="str">
        <x:v>B25</x:v>
      </x:c>
      <x:c r="D42" s="32" t="str">
        <x:v>Mandatory</x:v>
      </x:c>
      <x:c r="E42" s="32" t="str">
        <x:v>Zombie process</x:v>
      </x:c>
      <x:c r="F42" s="32" t="str">
        <x:v>Run and identify zombie state.</x:v>
      </x:c>
      <x:c r="G42" s="32" t="str">
        <x:v>/opt/process-lab/zombie &amp;; ps -eo pid,ppid,stat,cmd | awk '$3 ~ /^Z/'</x:v>
      </x:c>
      <x:c r="H42" s="32" t="str">
        <x:v>Child process displays Z / &lt;defunct&gt;.</x:v>
      </x:c>
      <x:c r="I42" s="32" t="str">
        <x:v>Zombie is already terminated; parent has not reaped it.</x:v>
      </x:c>
      <x:c r="J42" s="32" t="str">
        <x:v>Not Started</x:v>
      </x:c>
      <x:c r="K42" s="32" t="str">
        <x:v>Student</x:v>
      </x:c>
      <x:c r="L42" s="32" t="n">
        <x:v>15</x:v>
      </x:c>
      <x:c r="M42" s="92"/>
      <x:c r="N42" s="92"/>
      <x:c r="O42" s="32"/>
      <x:c r="P42" s="32"/>
      <x:c r="Q42" s="32" t="str">
        <x:f>IF(OR(M42="",N42=""),"",ROUND((N42-M42)*1440,0))</x:f>
      </x:c>
    </x:row>
    <x:row r="43">
      <x:c r="A43" s="32" t="n">
        <x:v>37</x:v>
      </x:c>
      <x:c r="B43" s="32" t="str">
        <x:v>B. Implementation</x:v>
      </x:c>
      <x:c r="C43" s="32" t="str">
        <x:v>B26</x:v>
      </x:c>
      <x:c r="D43" s="32" t="str">
        <x:v>Mandatory</x:v>
      </x:c>
      <x:c r="E43" s="32" t="str">
        <x:v>Zombie process</x:v>
      </x:c>
      <x:c r="F43" s="32" t="str">
        <x:v>Remove the lab zombie by terminating parent.</x:v>
      </x:c>
      <x:c r="G43" s="32" t="str">
        <x:v>kill -15 &lt;ZOMBIE_PARENT&gt;; sleep 2; repeat zombie search</x:v>
      </x:c>
      <x:c r="H43" s="32" t="str">
        <x:v>Lab zombie disappears.</x:v>
      </x:c>
      <x:c r="I43" s="32" t="str">
        <x:v>Do not kill unrelated system processes.</x:v>
      </x:c>
      <x:c r="J43" s="32" t="str">
        <x:v>Not Started</x:v>
      </x:c>
      <x:c r="K43" s="32" t="str">
        <x:v>Student</x:v>
      </x:c>
      <x:c r="L43" s="32" t="n">
        <x:v>5</x:v>
      </x:c>
      <x:c r="M43" s="92"/>
      <x:c r="N43" s="92"/>
      <x:c r="O43" s="32"/>
      <x:c r="P43" s="32"/>
      <x:c r="Q43" s="32" t="str">
        <x:f>IF(OR(M43="",N43=""),"",ROUND((N43-M43)*1440,0))</x:f>
      </x:c>
    </x:row>
    <x:row r="44">
      <x:c r="A44" s="32" t="n">
        <x:v>38</x:v>
      </x:c>
      <x:c r="B44" s="32" t="str">
        <x:v>B. Implementation</x:v>
      </x:c>
      <x:c r="C44" s="32" t="str">
        <x:v>B27</x:v>
      </x:c>
      <x:c r="D44" s="32" t="str">
        <x:v>Mandatory</x:v>
      </x:c>
      <x:c r="E44" s="32" t="str">
        <x:v>Service account</x:v>
      </x:c>
      <x:c r="F44" s="32" t="str">
        <x:v>Create reportsvc system account.</x:v>
      </x:c>
      <x:c r="G44" s="32" t="str">
        <x:v>useradd --system --home-dir /opt/process-lab --shell /sbin/nologin reportsvc || id reportsvc</x:v>
      </x:c>
      <x:c r="H44" s="32" t="str">
        <x:v>Service account exists.</x:v>
      </x:c>
      <x:c r="I44" s="32" t="str">
        <x:v>Least-privilege service ownership is a business control.</x:v>
      </x:c>
      <x:c r="J44" s="32" t="str">
        <x:v>Not Started</x:v>
      </x:c>
      <x:c r="K44" s="32" t="str">
        <x:v>Student</x:v>
      </x:c>
      <x:c r="L44" s="32" t="n">
        <x:v>10</x:v>
      </x:c>
      <x:c r="M44" s="92"/>
      <x:c r="N44" s="92"/>
      <x:c r="O44" s="32"/>
      <x:c r="P44" s="32" t="str">
        <x:v>D03</x:v>
      </x:c>
      <x:c r="Q44" s="32" t="str">
        <x:f>IF(OR(M44="",N44=""),"",ROUND((N44-M44)*1440,0))</x:f>
      </x:c>
    </x:row>
    <x:row r="45">
      <x:c r="A45" s="32" t="n">
        <x:v>39</x:v>
      </x:c>
      <x:c r="B45" s="32" t="str">
        <x:v>B. Implementation</x:v>
      </x:c>
      <x:c r="C45" s="32" t="str">
        <x:v>B28</x:v>
      </x:c>
      <x:c r="D45" s="32" t="str">
        <x:v>Mandatory</x:v>
      </x:c>
      <x:c r="E45" s="32" t="str">
        <x:v>systemd</x:v>
      </x:c>
      <x:c r="F45" s="32" t="str">
        <x:v>Create signal-aware report-generator script and service unit.</x:v>
      </x:c>
      <x:c r="G45" s="32" t="str">
        <x:v>Create /etc/systemd/system/report-generator.service according to FDS.</x:v>
      </x:c>
      <x:c r="H45" s="32" t="str">
        <x:v>Unit file and script exist with correct permissions.</x:v>
      </x:c>
      <x:c r="I45" s="32" t="str">
        <x:v>Service runs as reportsvc, not root.</x:v>
      </x:c>
      <x:c r="J45" s="32" t="str">
        <x:v>Not Started</x:v>
      </x:c>
      <x:c r="K45" s="32" t="str">
        <x:v>Student</x:v>
      </x:c>
      <x:c r="L45" s="32" t="n">
        <x:v>20</x:v>
      </x:c>
      <x:c r="M45" s="92"/>
      <x:c r="N45" s="92"/>
      <x:c r="O45" s="32"/>
      <x:c r="P45" s="32" t="str">
        <x:v>D03</x:v>
      </x:c>
      <x:c r="Q45" s="32" t="str">
        <x:f>IF(OR(M45="",N45=""),"",ROUND((N45-M45)*1440,0))</x:f>
      </x:c>
    </x:row>
    <x:row r="46">
      <x:c r="A46" s="32" t="n">
        <x:v>40</x:v>
      </x:c>
      <x:c r="B46" s="32" t="str">
        <x:v>B. Implementation</x:v>
      </x:c>
      <x:c r="C46" s="32" t="str">
        <x:v>B29</x:v>
      </x:c>
      <x:c r="D46" s="32" t="str">
        <x:v>Mandatory</x:v>
      </x:c>
      <x:c r="E46" s="32" t="str">
        <x:v>systemd</x:v>
      </x:c>
      <x:c r="F46" s="32" t="str">
        <x:v>Validate and start the service.</x:v>
      </x:c>
      <x:c r="G46" s="32" t="str">
        <x:v>systemd-analyze verify /etc/systemd/system/report-generator.service; systemctl daemon-reload; systemctl enable --now report-generator</x:v>
      </x:c>
      <x:c r="H46" s="32" t="str">
        <x:v>Service becomes active and enabled.</x:v>
      </x:c>
      <x:c r="I46" s="32" t="str">
        <x:v>Stop on unit validation errors.</x:v>
      </x:c>
      <x:c r="J46" s="32" t="str">
        <x:v>Not Started</x:v>
      </x:c>
      <x:c r="K46" s="32" t="str">
        <x:v>Student</x:v>
      </x:c>
      <x:c r="L46" s="32" t="n">
        <x:v>15</x:v>
      </x:c>
      <x:c r="M46" s="92"/>
      <x:c r="N46" s="92"/>
      <x:c r="O46" s="32"/>
      <x:c r="P46" s="32" t="str">
        <x:v>D03</x:v>
      </x:c>
      <x:c r="Q46" s="32" t="str">
        <x:f>IF(OR(M46="",N46=""),"",ROUND((N46-M46)*1440,0))</x:f>
      </x:c>
    </x:row>
    <x:row r="47">
      <x:c r="A47" s="32" t="n">
        <x:v>41</x:v>
      </x:c>
      <x:c r="B47" s="32" t="str">
        <x:v>B. Implementation</x:v>
      </x:c>
      <x:c r="C47" s="32" t="str">
        <x:v>B30</x:v>
      </x:c>
      <x:c r="D47" s="32" t="str">
        <x:v>Mandatory</x:v>
      </x:c>
      <x:c r="E47" s="32" t="str">
        <x:v>systemd</x:v>
      </x:c>
      <x:c r="F47" s="32" t="str">
        <x:v>Test service restart-on-failure.</x:v>
      </x:c>
      <x:c r="G47" s="32" t="str">
        <x:v>SERVICE_PID=$(systemctl show report-generator --property=MainPID --value); kill -9 $SERVICE_PID; sleep 7; systemctl status report-generator --no-pager</x:v>
      </x:c>
      <x:c r="H47" s="32" t="str">
        <x:v>systemd restarts service with a new PID.</x:v>
      </x:c>
      <x:c r="I47" s="32" t="str">
        <x:v>Demonstrates operational resilience.</x:v>
      </x:c>
      <x:c r="J47" s="32" t="str">
        <x:v>Not Started</x:v>
      </x:c>
      <x:c r="K47" s="32" t="str">
        <x:v>Student</x:v>
      </x:c>
      <x:c r="L47" s="32" t="n">
        <x:v>15</x:v>
      </x:c>
      <x:c r="M47" s="92"/>
      <x:c r="N47" s="92"/>
      <x:c r="O47" s="32"/>
      <x:c r="P47" s="32"/>
      <x:c r="Q47" s="32" t="str">
        <x:f>IF(OR(M47="",N47=""),"",ROUND((N47-M47)*1440,0))</x:f>
      </x:c>
    </x:row>
    <x:row r="48">
      <x:c r="A48" s="32" t="n">
        <x:v>42</x:v>
      </x:c>
      <x:c r="B48" s="32" t="str">
        <x:v>C. Post-Implementation Validation</x:v>
      </x:c>
      <x:c r="C48" s="32" t="str">
        <x:v>C01</x:v>
      </x:c>
      <x:c r="D48" s="32" t="str">
        <x:v>Mandatory</x:v>
      </x:c>
      <x:c r="E48" s="32" t="str">
        <x:v>Project files</x:v>
      </x:c>
      <x:c r="F48" s="32" t="str">
        <x:v>Validate required files and executables.</x:v>
      </x:c>
      <x:c r="G48" s="32" t="str">
        <x:v>ls -l /opt/process-lab; bash -n /opt/process-lab/*.sh</x:v>
      </x:c>
      <x:c r="H48" s="32" t="str">
        <x:v>Required files exist; scripts pass syntax checks.</x:v>
      </x:c>
      <x:c r="I48" s="32" t="str">
        <x:v>Attach listing.</x:v>
      </x:c>
      <x:c r="J48" s="32" t="str">
        <x:v>Not Started</x:v>
      </x:c>
      <x:c r="K48" s="32" t="str">
        <x:v>Student</x:v>
      </x:c>
      <x:c r="L48" s="32" t="n">
        <x:v>10</x:v>
      </x:c>
      <x:c r="M48" s="92"/>
      <x:c r="N48" s="92"/>
      <x:c r="O48" s="32"/>
      <x:c r="P48" s="32"/>
      <x:c r="Q48" s="32" t="str">
        <x:f>IF(OR(M48="",N48=""),"",ROUND((N48-M48)*1440,0))</x:f>
      </x:c>
    </x:row>
    <x:row r="49">
      <x:c r="A49" s="32" t="n">
        <x:v>43</x:v>
      </x:c>
      <x:c r="B49" s="32" t="str">
        <x:v>C. Post-Implementation Validation</x:v>
      </x:c>
      <x:c r="C49" s="32" t="str">
        <x:v>C02</x:v>
      </x:c>
      <x:c r="D49" s="32" t="str">
        <x:v>Mandatory</x:v>
      </x:c>
      <x:c r="E49" s="32" t="str">
        <x:v>Service</x:v>
      </x:c>
      <x:c r="F49" s="32" t="str">
        <x:v>Confirm service active and enabled.</x:v>
      </x:c>
      <x:c r="G49" s="32" t="str">
        <x:v>systemctl is-active report-generator; systemctl is-enabled report-generator</x:v>
      </x:c>
      <x:c r="H49" s="32" t="str">
        <x:v>Outputs active and enabled.</x:v>
      </x:c>
      <x:c r="I49" s="32" t="str">
        <x:v>Failure blocks acceptance.</x:v>
      </x:c>
      <x:c r="J49" s="32" t="str">
        <x:v>Not Started</x:v>
      </x:c>
      <x:c r="K49" s="32" t="str">
        <x:v>Student</x:v>
      </x:c>
      <x:c r="L49" s="32" t="n">
        <x:v>5</x:v>
      </x:c>
      <x:c r="M49" s="92"/>
      <x:c r="N49" s="92"/>
      <x:c r="O49" s="32"/>
      <x:c r="P49" s="32"/>
      <x:c r="Q49" s="32" t="str">
        <x:f>IF(OR(M49="",N49=""),"",ROUND((N49-M49)*1440,0))</x:f>
      </x:c>
    </x:row>
    <x:row r="50">
      <x:c r="A50" s="32" t="n">
        <x:v>44</x:v>
      </x:c>
      <x:c r="B50" s="32" t="str">
        <x:v>C. Post-Implementation Validation</x:v>
      </x:c>
      <x:c r="C50" s="32" t="str">
        <x:v>C03</x:v>
      </x:c>
      <x:c r="D50" s="32" t="str">
        <x:v>Mandatory</x:v>
      </x:c>
      <x:c r="E50" s="32" t="str">
        <x:v>Service process</x:v>
      </x:c>
      <x:c r="F50" s="32" t="str">
        <x:v>Confirm service account and MainPID.</x:v>
      </x:c>
      <x:c r="G50" s="32" t="str">
        <x:v>systemctl show report-generator --property=MainPID; ps -o user,pid,ppid,stat,cmd -p &lt;PID&gt;</x:v>
      </x:c>
      <x:c r="H50" s="32" t="str">
        <x:v>Valid PID; owner is reportsvc.</x:v>
      </x:c>
      <x:c r="I50" s="32" t="str">
        <x:v>Least privilege verified.</x:v>
      </x:c>
      <x:c r="J50" s="32" t="str">
        <x:v>Not Started</x:v>
      </x:c>
      <x:c r="K50" s="32" t="str">
        <x:v>Student</x:v>
      </x:c>
      <x:c r="L50" s="32" t="n">
        <x:v>10</x:v>
      </x:c>
      <x:c r="M50" s="92"/>
      <x:c r="N50" s="92"/>
      <x:c r="O50" s="32"/>
      <x:c r="P50" s="32"/>
      <x:c r="Q50" s="32" t="str">
        <x:f>IF(OR(M50="",N50=""),"",ROUND((N50-M50)*1440,0))</x:f>
      </x:c>
    </x:row>
    <x:row r="51">
      <x:c r="A51" s="32" t="n">
        <x:v>45</x:v>
      </x:c>
      <x:c r="B51" s="32" t="str">
        <x:v>C. Post-Implementation Validation</x:v>
      </x:c>
      <x:c r="C51" s="32" t="str">
        <x:v>C04</x:v>
      </x:c>
      <x:c r="D51" s="32" t="str">
        <x:v>Mandatory</x:v>
      </x:c>
      <x:c r="E51" s="32" t="str">
        <x:v>Logs</x:v>
      </x:c>
      <x:c r="F51" s="32" t="str">
        <x:v>Confirm operational log growth.</x:v>
      </x:c>
      <x:c r="G51" s="32" t="str">
        <x:v>tail -n 5 /tmp/report-generator.log; sleep 12; tail -n 5 /tmp/report-generator.log</x:v>
      </x:c>
      <x:c r="H51" s="32" t="str">
        <x:v>New timestamped entries appear.</x:v>
      </x:c>
      <x:c r="I51" s="32" t="str">
        <x:v>Demonstrates service operation.</x:v>
      </x:c>
      <x:c r="J51" s="32" t="str">
        <x:v>Not Started</x:v>
      </x:c>
      <x:c r="K51" s="32" t="str">
        <x:v>Student</x:v>
      </x:c>
      <x:c r="L51" s="32" t="n">
        <x:v>15</x:v>
      </x:c>
      <x:c r="M51" s="92"/>
      <x:c r="N51" s="92"/>
      <x:c r="O51" s="32"/>
      <x:c r="P51" s="32"/>
      <x:c r="Q51" s="32" t="str">
        <x:f>IF(OR(M51="",N51=""),"",ROUND((N51-M51)*1440,0))</x:f>
      </x:c>
    </x:row>
    <x:row r="52">
      <x:c r="A52" s="32" t="n">
        <x:v>46</x:v>
      </x:c>
      <x:c r="B52" s="32" t="str">
        <x:v>C. Post-Implementation Validation</x:v>
      </x:c>
      <x:c r="C52" s="32" t="str">
        <x:v>C05</x:v>
      </x:c>
      <x:c r="D52" s="32" t="str">
        <x:v>Mandatory</x:v>
      </x:c>
      <x:c r="E52" s="32" t="str">
        <x:v>Incident simulation</x:v>
      </x:c>
      <x:c r="F52" s="32" t="str">
        <x:v>Start one CPU worker as the fault condition.</x:v>
      </x:c>
      <x:c r="G52" s="32" t="str">
        <x:v>runuser -u reportsvc -- nohup /opt/process-lab/cpu-worker.sh &gt; /tmp/cpu-worker.out 2&gt;&amp;1 &amp;</x:v>
      </x:c>
      <x:c r="H52" s="32" t="str">
        <x:v>High-CPU process starts under reportsvc.</x:v>
      </x:c>
      <x:c r="I52" s="32" t="str">
        <x:v>Controlled classroom fault only.</x:v>
      </x:c>
      <x:c r="J52" s="32" t="str">
        <x:v>Not Started</x:v>
      </x:c>
      <x:c r="K52" s="32" t="str">
        <x:v>Instructor / Student</x:v>
      </x:c>
      <x:c r="L52" s="32" t="n">
        <x:v>5</x:v>
      </x:c>
      <x:c r="M52" s="92"/>
      <x:c r="N52" s="92"/>
      <x:c r="O52" s="32"/>
      <x:c r="P52" s="32" t="str">
        <x:v>D02</x:v>
      </x:c>
      <x:c r="Q52" s="32" t="str">
        <x:f>IF(OR(M52="",N52=""),"",ROUND((N52-M52)*1440,0))</x:f>
      </x:c>
    </x:row>
    <x:row r="53">
      <x:c r="A53" s="32" t="n">
        <x:v>47</x:v>
      </x:c>
      <x:c r="B53" s="32" t="str">
        <x:v>C. Post-Implementation Validation</x:v>
      </x:c>
      <x:c r="C53" s="32" t="str">
        <x:v>C06</x:v>
      </x:c>
      <x:c r="D53" s="32" t="str">
        <x:v>Mandatory</x:v>
      </x:c>
      <x:c r="E53" s="32" t="str">
        <x:v>Incident response</x:v>
      </x:c>
      <x:c r="F53" s="32" t="str">
        <x:v>Identify the high-CPU process and system load.</x:v>
      </x:c>
      <x:c r="G53" s="32" t="str">
        <x:v>uptime; top; ps -eo pid,ppid,user,stat,%cpu,%mem,ni,etime,cmd --sort=-%cpu | head</x:v>
      </x:c>
      <x:c r="H53" s="32" t="str">
        <x:v>Fault process and impact identified.</x:v>
      </x:c>
      <x:c r="I53" s="32" t="str">
        <x:v>Evidence must be captured before correction.</x:v>
      </x:c>
      <x:c r="J53" s="32" t="str">
        <x:v>Not Started</x:v>
      </x:c>
      <x:c r="K53" s="32" t="str">
        <x:v>Student</x:v>
      </x:c>
      <x:c r="L53" s="32" t="n">
        <x:v>10</x:v>
      </x:c>
      <x:c r="M53" s="92"/>
      <x:c r="N53" s="92"/>
      <x:c r="O53" s="32"/>
      <x:c r="P53" s="32"/>
      <x:c r="Q53" s="32" t="str">
        <x:f>IF(OR(M53="",N53=""),"",ROUND((N53-M53)*1440,0))</x:f>
      </x:c>
    </x:row>
    <x:row r="54">
      <x:c r="A54" s="32" t="n">
        <x:v>48</x:v>
      </x:c>
      <x:c r="B54" s="32" t="str">
        <x:v>C. Post-Implementation Validation</x:v>
      </x:c>
      <x:c r="C54" s="32" t="str">
        <x:v>C07</x:v>
      </x:c>
      <x:c r="D54" s="32" t="str">
        <x:v>Mandatory</x:v>
      </x:c>
      <x:c r="E54" s="32" t="str">
        <x:v>Incident response</x:v>
      </x:c>
      <x:c r="F54" s="32" t="str">
        <x:v>Lower priority and terminate safely.</x:v>
      </x:c>
      <x:c r="G54" s="32" t="str">
        <x:v>renice 15 -p &lt;PID&gt;; kill -15 &lt;PID&gt;; sleep 2; ps -p &lt;PID&gt;</x:v>
      </x:c>
      <x:c r="H54" s="32" t="str">
        <x:v>Nice value changes and process terminates.</x:v>
      </x:c>
      <x:c r="I54" s="32" t="str">
        <x:v>Escalate to SIGKILL only if required.</x:v>
      </x:c>
      <x:c r="J54" s="32" t="str">
        <x:v>Not Started</x:v>
      </x:c>
      <x:c r="K54" s="32" t="str">
        <x:v>Student</x:v>
      </x:c>
      <x:c r="L54" s="32" t="n">
        <x:v>10</x:v>
      </x:c>
      <x:c r="M54" s="92"/>
      <x:c r="N54" s="92"/>
      <x:c r="O54" s="32"/>
      <x:c r="P54" s="32"/>
      <x:c r="Q54" s="32" t="str">
        <x:f>IF(OR(M54="",N54=""),"",ROUND((N54-M54)*1440,0))</x:f>
      </x:c>
    </x:row>
    <x:row r="55">
      <x:c r="A55" s="32" t="n">
        <x:v>49</x:v>
      </x:c>
      <x:c r="B55" s="32" t="str">
        <x:v>C. Post-Implementation Validation</x:v>
      </x:c>
      <x:c r="C55" s="32" t="str">
        <x:v>C08</x:v>
      </x:c>
      <x:c r="D55" s="32" t="str">
        <x:v>Mandatory</x:v>
      </x:c>
      <x:c r="E55" s="32" t="str">
        <x:v>Service recovery</x:v>
      </x:c>
      <x:c r="F55" s="32" t="str">
        <x:v>Restart and validate report service.</x:v>
      </x:c>
      <x:c r="G55" s="32" t="str">
        <x:v>systemctl restart report-generator; systemctl status report-generator --no-pager</x:v>
      </x:c>
      <x:c r="H55" s="32" t="str">
        <x:v>Service is restored and stable.</x:v>
      </x:c>
      <x:c r="I55" s="32" t="str">
        <x:v>Record recovery time.</x:v>
      </x:c>
      <x:c r="J55" s="32" t="str">
        <x:v>Not Started</x:v>
      </x:c>
      <x:c r="K55" s="32" t="str">
        <x:v>Student</x:v>
      </x:c>
      <x:c r="L55" s="32" t="n">
        <x:v>10</x:v>
      </x:c>
      <x:c r="M55" s="92"/>
      <x:c r="N55" s="92"/>
      <x:c r="O55" s="32"/>
      <x:c r="P55" s="32"/>
      <x:c r="Q55" s="32" t="str">
        <x:f>IF(OR(M55="",N55=""),"",ROUND((N55-M55)*1440,0))</x:f>
      </x:c>
    </x:row>
    <x:row r="56">
      <x:c r="A56" s="32" t="n">
        <x:v>50</x:v>
      </x:c>
      <x:c r="B56" s="32" t="str">
        <x:v>C. Post-Implementation Validation</x:v>
      </x:c>
      <x:c r="C56" s="32" t="str">
        <x:v>C09</x:v>
      </x:c>
      <x:c r="D56" s="32" t="str">
        <x:v>Mandatory</x:v>
      </x:c>
      <x:c r="E56" s="32" t="str">
        <x:v>Automated validation</x:v>
      </x:c>
      <x:c r="F56" s="32" t="str">
        <x:v>Run the project validation script.</x:v>
      </x:c>
      <x:c r="G56" s="32" t="str">
        <x:v>/opt/process-lab/validate-project.sh</x:v>
      </x:c>
      <x:c r="H56" s="32" t="str">
        <x:v>PROJECT VALIDATION SUCCESSFUL.</x:v>
      </x:c>
      <x:c r="I56" s="32" t="str">
        <x:v>All failed checks must be corrected.</x:v>
      </x:c>
      <x:c r="J56" s="32" t="str">
        <x:v>Not Started</x:v>
      </x:c>
      <x:c r="K56" s="32" t="str">
        <x:v>Student</x:v>
      </x:c>
      <x:c r="L56" s="32" t="n">
        <x:v>10</x:v>
      </x:c>
      <x:c r="M56" s="92"/>
      <x:c r="N56" s="92"/>
      <x:c r="O56" s="32"/>
      <x:c r="P56" s="32"/>
      <x:c r="Q56" s="32" t="str">
        <x:f>IF(OR(M56="",N56=""),"",ROUND((N56-M56)*1440,0))</x:f>
      </x:c>
    </x:row>
    <x:row r="57">
      <x:c r="A57" s="32" t="n">
        <x:v>51</x:v>
      </x:c>
      <x:c r="B57" s="32" t="str">
        <x:v>C. Post-Implementation Validation</x:v>
      </x:c>
      <x:c r="C57" s="32" t="str">
        <x:v>C10</x:v>
      </x:c>
      <x:c r="D57" s="32" t="str">
        <x:v>Mandatory</x:v>
      </x:c>
      <x:c r="E57" s="32" t="str">
        <x:v>Evidence</x:v>
      </x:c>
      <x:c r="F57" s="32" t="str">
        <x:v>Complete Validation Evidence sheet.</x:v>
      </x:c>
      <x:c r="G57" s="32" t="str">
        <x:v>Record actual result, pass/fail, evidence reference, tester and timestamp.</x:v>
      </x:c>
      <x:c r="H57" s="32" t="str">
        <x:v>Every acceptance test has traceable evidence.</x:v>
      </x:c>
      <x:c r="I57" s="32" t="str">
        <x:v>Missing evidence means incomplete delivery.</x:v>
      </x:c>
      <x:c r="J57" s="32" t="str">
        <x:v>Not Started</x:v>
      </x:c>
      <x:c r="K57" s="32" t="str">
        <x:v>Student</x:v>
      </x:c>
      <x:c r="L57" s="32" t="n">
        <x:v>20</x:v>
      </x:c>
      <x:c r="M57" s="92"/>
      <x:c r="N57" s="92"/>
      <x:c r="O57" s="32"/>
      <x:c r="P57" s="32"/>
      <x:c r="Q57" s="32" t="str">
        <x:f>IF(OR(M57="",N57=""),"",ROUND((N57-M57)*1440,0))</x:f>
      </x:c>
    </x:row>
    <x:row r="58">
      <x:c r="A58" s="32" t="n">
        <x:v>52</x:v>
      </x:c>
      <x:c r="B58" s="32" t="str">
        <x:v>C. Post-Implementation Validation</x:v>
      </x:c>
      <x:c r="C58" s="32" t="str">
        <x:v>C11</x:v>
      </x:c>
      <x:c r="D58" s="32" t="str">
        <x:v>Mandatory</x:v>
      </x:c>
      <x:c r="E58" s="32" t="str">
        <x:v>Business acceptance</x:v>
      </x:c>
      <x:c r="F58" s="32" t="str">
        <x:v>Complete incident report and lessons learned.</x:v>
      </x:c>
      <x:c r="G58" s="32" t="str">
        <x:v>Use approved incident-report template.</x:v>
      </x:c>
      <x:c r="H58" s="32" t="str">
        <x:v>Root cause, actions, validation and prevention documented.</x:v>
      </x:c>
      <x:c r="I58" s="32" t="str">
        <x:v>Technical work must be translated into business language.</x:v>
      </x:c>
      <x:c r="J58" s="32" t="str">
        <x:v>Not Started</x:v>
      </x:c>
      <x:c r="K58" s="32" t="str">
        <x:v>Student</x:v>
      </x:c>
      <x:c r="L58" s="32" t="n">
        <x:v>25</x:v>
      </x:c>
      <x:c r="M58" s="92"/>
      <x:c r="N58" s="92"/>
      <x:c r="O58" s="32"/>
      <x:c r="P58" s="32"/>
      <x:c r="Q58" s="32" t="str">
        <x:f>IF(OR(M58="",N58=""),"",ROUND((N58-M58)*1440,0))</x:f>
      </x:c>
    </x:row>
    <x:row r="59">
      <x:c r="A59" s="32" t="n">
        <x:v>53</x:v>
      </x:c>
      <x:c r="B59" s="32" t="str">
        <x:v>C. Post-Implementation Validation</x:v>
      </x:c>
      <x:c r="C59" s="32" t="str">
        <x:v>C12</x:v>
      </x:c>
      <x:c r="D59" s="32" t="str">
        <x:v>Mandatory</x:v>
      </x:c>
      <x:c r="E59" s="32" t="str">
        <x:v>Change closure</x:v>
      </x:c>
      <x:c r="F59" s="32" t="str">
        <x:v>Obtain instructor acceptance and close the change.</x:v>
      </x:c>
      <x:c r="G59" s="32" t="str">
        <x:v>Review deliverables, evidence, risks and open actions.</x:v>
      </x:c>
      <x:c r="H59" s="32" t="str">
        <x:v>Project accepted or punch-list issued.</x:v>
      </x:c>
      <x:c r="I59" s="32" t="str">
        <x:v>Close only after mandatory criteria pass.</x:v>
      </x:c>
      <x:c r="J59" s="32" t="str">
        <x:v>Not Started</x:v>
      </x:c>
      <x:c r="K59" s="32" t="str">
        <x:v>Project Manager</x:v>
      </x:c>
      <x:c r="L59" s="32" t="n">
        <x:v>15</x:v>
      </x:c>
      <x:c r="M59" s="92"/>
      <x:c r="N59" s="92"/>
      <x:c r="O59" s="32"/>
      <x:c r="P59" s="32"/>
      <x:c r="Q59" s="32" t="str">
        <x:f>IF(OR(M59="",N59=""),"",ROUND((N59-M59)*1440,0))</x:f>
      </x:c>
    </x:row>
    <x:row r="60">
      <x:c r="A60" s="32" t="n">
        <x:v>54</x:v>
      </x:c>
      <x:c r="B60" s="32" t="str">
        <x:v>D. Rollback</x:v>
      </x:c>
      <x:c r="C60" s="32" t="str">
        <x:v>D01</x:v>
      </x:c>
      <x:c r="D60" s="32" t="str">
        <x:v>Decision</x:v>
      </x:c>
      <x:c r="E60" s="32" t="str">
        <x:v>Change review</x:v>
      </x:c>
      <x:c r="F60" s="32" t="str">
        <x:v>Declare rollback and obtain authorization.</x:v>
      </x:c>
      <x:c r="G60" s="32" t="str">
        <x:v>Record failure, impact, selected backout and authorization time.</x:v>
      </x:c>
      <x:c r="H60" s="32" t="str">
        <x:v>Rollback decision documented.</x:v>
      </x:c>
      <x:c r="I60" s="32" t="str">
        <x:v>Do not perform destructive rollback without approval.</x:v>
      </x:c>
      <x:c r="J60" s="32" t="str">
        <x:v>Not Started</x:v>
      </x:c>
      <x:c r="K60" s="32" t="str">
        <x:v>Project Manager</x:v>
      </x:c>
      <x:c r="L60" s="32" t="n">
        <x:v>5</x:v>
      </x:c>
      <x:c r="M60" s="92"/>
      <x:c r="N60" s="92"/>
      <x:c r="O60" s="32"/>
      <x:c r="P60" s="32"/>
      <x:c r="Q60" s="32" t="str">
        <x:f>IF(OR(M60="",N60=""),"",ROUND((N60-M60)*1440,0))</x:f>
      </x:c>
    </x:row>
    <x:row r="61">
      <x:c r="A61" s="32" t="n">
        <x:v>55</x:v>
      </x:c>
      <x:c r="B61" s="32" t="str">
        <x:v>D. Rollback</x:v>
      </x:c>
      <x:c r="C61" s="32" t="str">
        <x:v>D02</x:v>
      </x:c>
      <x:c r="D61" s="32" t="str">
        <x:v>Mandatory</x:v>
      </x:c>
      <x:c r="E61" s="32" t="str">
        <x:v>Processes</x:v>
      </x:c>
      <x:c r="F61" s="32" t="str">
        <x:v>Stop all lab processes.</x:v>
      </x:c>
      <x:c r="G61" s="32" t="str">
        <x:v>pkill -TERM -f '/opt/process-lab/report-generator.sh|/opt/process-lab/cpu-worker.sh|/opt/process-lab/parent-child.sh|/opt/process-lab/zombie'</x:v>
      </x:c>
      <x:c r="H61" s="32" t="str">
        <x:v>All lab processes stopped.</x:v>
      </x:c>
      <x:c r="I61" s="32" t="str">
        <x:v>Verify PIDs before using SIGKILL.</x:v>
      </x:c>
      <x:c r="J61" s="32" t="str">
        <x:v>Not Started</x:v>
      </x:c>
      <x:c r="K61" s="32" t="str">
        <x:v>Student</x:v>
      </x:c>
      <x:c r="L61" s="32" t="n">
        <x:v>10</x:v>
      </x:c>
      <x:c r="M61" s="92"/>
      <x:c r="N61" s="92"/>
      <x:c r="O61" s="32"/>
      <x:c r="P61" s="32"/>
      <x:c r="Q61" s="32" t="str">
        <x:f>IF(OR(M61="",N61=""),"",ROUND((N61-M61)*1440,0))</x:f>
      </x:c>
    </x:row>
    <x:row r="62">
      <x:c r="A62" s="32" t="n">
        <x:v>56</x:v>
      </x:c>
      <x:c r="B62" s="32" t="str">
        <x:v>D. Rollback</x:v>
      </x:c>
      <x:c r="C62" s="32" t="str">
        <x:v>D03</x:v>
      </x:c>
      <x:c r="D62" s="32" t="str">
        <x:v>Mandatory</x:v>
      </x:c>
      <x:c r="E62" s="32" t="str">
        <x:v>systemd</x:v>
      </x:c>
      <x:c r="F62" s="32" t="str">
        <x:v>Disable and remove the service.</x:v>
      </x:c>
      <x:c r="G62" s="32" t="str">
        <x:v>systemctl disable --now report-generator; rm -f /etc/systemd/system/report-generator.service; systemctl daemon-reload; systemctl reset-failed</x:v>
      </x:c>
      <x:c r="H62" s="32" t="str">
        <x:v>Service removed and no longer enabled.</x:v>
      </x:c>
      <x:c r="I62" s="32" t="str">
        <x:v>Preserve evidence before removal.</x:v>
      </x:c>
      <x:c r="J62" s="32" t="str">
        <x:v>Not Started</x:v>
      </x:c>
      <x:c r="K62" s="32" t="str">
        <x:v>Student</x:v>
      </x:c>
      <x:c r="L62" s="32" t="n">
        <x:v>10</x:v>
      </x:c>
      <x:c r="M62" s="92"/>
      <x:c r="N62" s="92"/>
      <x:c r="O62" s="32"/>
      <x:c r="P62" s="32"/>
      <x:c r="Q62" s="32" t="str">
        <x:f>IF(OR(M62="",N62=""),"",ROUND((N62-M62)*1440,0))</x:f>
      </x:c>
    </x:row>
    <x:row r="63">
      <x:c r="A63" s="32" t="n">
        <x:v>57</x:v>
      </x:c>
      <x:c r="B63" s="32" t="str">
        <x:v>D. Rollback</x:v>
      </x:c>
      <x:c r="C63" s="32" t="str">
        <x:v>D04</x:v>
      </x:c>
      <x:c r="D63" s="32" t="str">
        <x:v>Conditional</x:v>
      </x:c>
      <x:c r="E63" s="32" t="str">
        <x:v>Service account</x:v>
      </x:c>
      <x:c r="F63" s="32" t="str">
        <x:v>Remove reportsvc if created only for this lab.</x:v>
      </x:c>
      <x:c r="G63" s="32" t="str">
        <x:v>userdel reportsvc</x:v>
      </x:c>
      <x:c r="H63" s="32" t="str">
        <x:v>Lab service account removed.</x:v>
      </x:c>
      <x:c r="I63" s="32" t="str">
        <x:v>Do not remove if used by another approved service.</x:v>
      </x:c>
      <x:c r="J63" s="32" t="str">
        <x:v>Not Started</x:v>
      </x:c>
      <x:c r="K63" s="32" t="str">
        <x:v>Student</x:v>
      </x:c>
      <x:c r="L63" s="32" t="n">
        <x:v>5</x:v>
      </x:c>
      <x:c r="M63" s="92"/>
      <x:c r="N63" s="92"/>
      <x:c r="O63" s="32"/>
      <x:c r="P63" s="32"/>
      <x:c r="Q63" s="32" t="str">
        <x:f>IF(OR(M63="",N63=""),"",ROUND((N63-M63)*1440,0))</x:f>
      </x:c>
    </x:row>
    <x:row r="64">
      <x:c r="A64" s="32" t="n">
        <x:v>58</x:v>
      </x:c>
      <x:c r="B64" s="32" t="str">
        <x:v>D. Rollback</x:v>
      </x:c>
      <x:c r="C64" s="32" t="str">
        <x:v>D05</x:v>
      </x:c>
      <x:c r="D64" s="32" t="str">
        <x:v>Conditional</x:v>
      </x:c>
      <x:c r="E64" s="32" t="str">
        <x:v>Project files</x:v>
      </x:c>
      <x:c r="F64" s="32" t="str">
        <x:v>Archive or remove lab directory.</x:v>
      </x:c>
      <x:c r="G64" s="32" t="str">
        <x:v>tar -czf /root/&lt;CHANGE_ID&gt;-evidence.tgz /opt/process-lab; rm -rf /opt/process-lab</x:v>
      </x:c>
      <x:c r="H64" s="32" t="str">
        <x:v>Evidence archived; project files removed.</x:v>
      </x:c>
      <x:c r="I64" s="32" t="str">
        <x:v>Confirm archive before deletion.</x:v>
      </x:c>
      <x:c r="J64" s="32" t="str">
        <x:v>Not Started</x:v>
      </x:c>
      <x:c r="K64" s="32" t="str">
        <x:v>Student</x:v>
      </x:c>
      <x:c r="L64" s="32" t="n">
        <x:v>10</x:v>
      </x:c>
      <x:c r="M64" s="92"/>
      <x:c r="N64" s="92"/>
      <x:c r="O64" s="32"/>
      <x:c r="P64" s="32"/>
      <x:c r="Q64" s="32" t="str">
        <x:f>IF(OR(M64="",N64=""),"",ROUND((N64-M64)*1440,0))</x:f>
      </x:c>
    </x:row>
    <x:row r="65">
      <x:c r="A65" s="32" t="n">
        <x:v>59</x:v>
      </x:c>
      <x:c r="B65" s="32" t="str">
        <x:v>D. Rollback</x:v>
      </x:c>
      <x:c r="C65" s="32" t="str">
        <x:v>D06</x:v>
      </x:c>
      <x:c r="D65" s="32" t="str">
        <x:v>Conditional</x:v>
      </x:c>
      <x:c r="E65" s="32" t="str">
        <x:v>Temporary files</x:v>
      </x:c>
      <x:c r="F65" s="32" t="str">
        <x:v>Remove temporary project logs.</x:v>
      </x:c>
      <x:c r="G65" s="32" t="str">
        <x:v>rm -f /tmp/report-generator.log /tmp/report-output.log /tmp/nohup-report.pid /tmp/cpu-worker.out</x:v>
      </x:c>
      <x:c r="H65" s="32" t="str">
        <x:v>Temporary files removed.</x:v>
      </x:c>
      <x:c r="I65" s="32" t="str">
        <x:v>Do not use broad /tmp deletion commands.</x:v>
      </x:c>
      <x:c r="J65" s="32" t="str">
        <x:v>Not Started</x:v>
      </x:c>
      <x:c r="K65" s="32" t="str">
        <x:v>Student</x:v>
      </x:c>
      <x:c r="L65" s="32" t="n">
        <x:v>5</x:v>
      </x:c>
      <x:c r="M65" s="92"/>
      <x:c r="N65" s="92"/>
      <x:c r="O65" s="32"/>
      <x:c r="P65" s="32"/>
      <x:c r="Q65" s="32" t="str">
        <x:f>IF(OR(M65="",N65=""),"",ROUND((N65-M65)*1440,0))</x:f>
      </x:c>
    </x:row>
    <x:row r="66">
      <x:c r="A66" s="32" t="n">
        <x:v>60</x:v>
      </x:c>
      <x:c r="B66" s="32" t="str">
        <x:v>D. Rollback</x:v>
      </x:c>
      <x:c r="C66" s="32" t="str">
        <x:v>D07</x:v>
      </x:c>
      <x:c r="D66" s="32" t="str">
        <x:v>Conditional</x:v>
      </x:c>
      <x:c r="E66" s="32" t="str">
        <x:v>VM</x:v>
      </x:c>
      <x:c r="F66" s="32" t="str">
        <x:v>Revert the Xen Orchestra snapshot.</x:v>
      </x:c>
      <x:c r="G66" s="32" t="str">
        <x:v>XO → VM → Snapshots → Revert approved pre-change snapshot</x:v>
      </x:c>
      <x:c r="H66" s="32" t="str">
        <x:v>VM returns to pre-change state.</x:v>
      </x:c>
      <x:c r="I66" s="32" t="str">
        <x:v>Use when manual rollback is insufficient.</x:v>
      </x:c>
      <x:c r="J66" s="32" t="str">
        <x:v>Not Started</x:v>
      </x:c>
      <x:c r="K66" s="32" t="str">
        <x:v>Lab Administrator</x:v>
      </x:c>
      <x:c r="L66" s="32" t="n">
        <x:v>15</x:v>
      </x:c>
      <x:c r="M66" s="92"/>
      <x:c r="N66" s="92"/>
      <x:c r="O66" s="32"/>
      <x:c r="P66" s="32"/>
      <x:c r="Q66" s="32" t="str">
        <x:f>IF(OR(M66="",N66=""),"",ROUND((N66-M66)*1440,0))</x:f>
      </x:c>
    </x:row>
    <x:row r="67">
      <x:c r="A67" s="32" t="n">
        <x:v>61</x:v>
      </x:c>
      <x:c r="B67" s="32" t="str">
        <x:v>D. Rollback</x:v>
      </x:c>
      <x:c r="C67" s="32" t="str">
        <x:v>D08</x:v>
      </x:c>
      <x:c r="D67" s="32" t="str">
        <x:v>Mandatory</x:v>
      </x:c>
      <x:c r="E67" s="32" t="str">
        <x:v>Validation</x:v>
      </x:c>
      <x:c r="F67" s="32" t="str">
        <x:v>Confirm rollback state.</x:v>
      </x:c>
      <x:c r="G67" s="32" t="str">
        <x:v>pgrep -af 'report-generator|cpu-worker|parent-child|zombie'; systemctl status report-generator</x:v>
      </x:c>
      <x:c r="H67" s="32" t="str">
        <x:v>No lab processes/service remain unless intentionally retained.</x:v>
      </x:c>
      <x:c r="I67" s="32" t="str">
        <x:v>Record final evidence.</x:v>
      </x:c>
      <x:c r="J67" s="32" t="str">
        <x:v>Not Started</x:v>
      </x:c>
      <x:c r="K67" s="32" t="str">
        <x:v>Student</x:v>
      </x:c>
      <x:c r="L67" s="32" t="n">
        <x:v>10</x:v>
      </x:c>
      <x:c r="M67" s="92"/>
      <x:c r="N67" s="92"/>
      <x:c r="O67" s="32"/>
      <x:c r="P67" s="32"/>
      <x:c r="Q67" s="32" t="str">
        <x:f>IF(OR(M67="",N67=""),"",ROUND((N67-M67)*1440,0))</x:f>
      </x:c>
    </x:row>
    <x:row r="68">
      <x:c r="A68" s="32" t="n">
        <x:v>62</x:v>
      </x:c>
      <x:c r="B68" s="32" t="str">
        <x:v>D. Rollback</x:v>
      </x:c>
      <x:c r="C68" s="32" t="str">
        <x:v>D09</x:v>
      </x:c>
      <x:c r="D68" s="32" t="str">
        <x:v>Mandatory</x:v>
      </x:c>
      <x:c r="E68" s="32" t="str">
        <x:v>Change record</x:v>
      </x:c>
      <x:c r="F68" s="32" t="str">
        <x:v>Document rollback result and close/escalate.</x:v>
      </x:c>
      <x:c r="G68" s="32" t="str">
        <x:v>Update NCD, risk, incident and lessons learned.</x:v>
      </x:c>
      <x:c r="H68" s="32" t="str">
        <x:v>Rollback outcome and follow-up owner recorded.</x:v>
      </x:c>
      <x:c r="I68" s="32" t="str">
        <x:v>Unresolved issues remain open with owner/date.</x:v>
      </x:c>
      <x:c r="J68" s="32" t="str">
        <x:v>Not Started</x:v>
      </x:c>
      <x:c r="K68" s="32" t="str">
        <x:v>Project Manager</x:v>
      </x:c>
      <x:c r="L68" s="32" t="n">
        <x:v>10</x:v>
      </x:c>
      <x:c r="M68" s="92"/>
      <x:c r="N68" s="92"/>
      <x:c r="O68" s="32"/>
      <x:c r="P68" s="32"/>
      <x:c r="Q68" s="32" t="str">
        <x:f>IF(OR(M68="",N68=""),"",ROUND((N68-M68)*1440,0))</x:f>
      </x:c>
    </x:row>
  </x:sheetData>
  <x:mergeCells>
    <x:mergeCell ref="A1:Q1"/>
    <x:mergeCell ref="A2:Q2"/>
  </x:mergeCells>
  <x:conditionalFormatting sqref="J7:J68">
    <x:cfRule type="expression" dxfId="15" priority="1">
      <x:formula>J7="Complete"</x:formula>
    </x:cfRule>
    <x:cfRule type="expression" dxfId="16" priority="2">
      <x:formula>J7="In Progress"</x:formula>
    </x:cfRule>
    <x:cfRule type="expression" dxfId="17" priority="3">
      <x:formula>J7="Failed"</x:formula>
    </x:cfRule>
    <x:cfRule type="expression" dxfId="18" priority="4">
      <x:formula>J7="Approved"</x:formula>
    </x:cfRule>
    <x:cfRule type="expression" dxfId="19" priority="5">
      <x:formula>J7="Pending"</x:formula>
    </x:cfRule>
  </x:conditionalFormatting>
  <x:dataValidations count="1">
    <x:dataValidation type="list" sqref="J7:J68">
      <x:formula1>"Not Started,In Progress,Complete,Failed,Skipped,Rolled Back,Pending,Approved,Closed"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8" hidden="0" customWidth="1"/>
    <x:col min="6" max="6" width="32" hidden="0" customWidth="1"/>
    <x:col min="7" max="7" width="28" hidden="0" customWidth="1"/>
    <x:col min="8" max="8" width="32" hidden="0" customWidth="1"/>
    <x:col min="9" max="9" width="15" hidden="0" customWidth="1"/>
    <x:col min="10" max="10" width="22" hidden="0" customWidth="1"/>
    <x:col min="11" max="11" width="18" hidden="0" customWidth="1"/>
    <x:col min="12" max="12" width="19" hidden="0" customWidth="1"/>
  </x:cols>
  <x:sheetData>
    <x:row r="1" ht="30" customHeight="1">
      <x:c r="A1" s="5" t="str">
        <x:v>Post-Implementation Validation Evidence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2" t="str">
        <x:v>Formal acceptance evidence for technical and business validation.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25" t="str">
        <x:v>Test ID</x:v>
      </x:c>
      <x:c r="B4" s="25" t="str">
        <x:v>Runbook Step</x:v>
      </x:c>
      <x:c r="C4" s="25" t="str">
        <x:v>Category</x:v>
      </x:c>
      <x:c r="D4" s="25" t="str">
        <x:v>Target Host / Service</x:v>
      </x:c>
      <x:c r="E4" s="25" t="str">
        <x:v>Validation Test</x:v>
      </x:c>
      <x:c r="F4" s="25" t="str">
        <x:v>Command / Navigation</x:v>
      </x:c>
      <x:c r="G4" s="25" t="str">
        <x:v>Expected Result</x:v>
      </x:c>
      <x:c r="H4" s="25" t="str">
        <x:v>Actual Result</x:v>
      </x:c>
      <x:c r="I4" s="25" t="str">
        <x:v>Pass / Fail</x:v>
      </x:c>
      <x:c r="J4" s="25" t="str">
        <x:v>Evidence Reference</x:v>
      </x:c>
      <x:c r="K4" s="25" t="str">
        <x:v>Tester</x:v>
      </x:c>
      <x:c r="L4" s="25" t="str">
        <x:v>Timestamp</x:v>
      </x:c>
    </x:row>
    <x:row r="5">
      <x:c r="A5" s="32" t="str">
        <x:v>VAL-01</x:v>
      </x:c>
      <x:c r="B5" s="32" t="str">
        <x:v>A03</x:v>
      </x:c>
      <x:c r="C5" s="32" t="str">
        <x:v>Access</x:v>
      </x:c>
      <x:c r="D5" s="32" t="str">
        <x:v>Student VM</x:v>
      </x:c>
      <x:c r="E5" s="32" t="str">
        <x:v>Root access verified</x:v>
      </x:c>
      <x:c r="F5" s="32" t="str">
        <x:v>whoami; id</x:v>
      </x:c>
      <x:c r="G5" s="32" t="str">
        <x:v>root / uid=0</x:v>
      </x:c>
      <x:c r="H5" s="32"/>
      <x:c r="I5" s="32" t="str">
        <x:v>Not Run</x:v>
      </x:c>
      <x:c r="J5" s="32"/>
      <x:c r="K5" s="32"/>
      <x:c r="L5" s="92"/>
    </x:row>
    <x:row r="6">
      <x:c r="A6" s="32" t="str">
        <x:v>VAL-02</x:v>
      </x:c>
      <x:c r="B6" s="32" t="str">
        <x:v>A08</x:v>
      </x:c>
      <x:c r="C6" s="32" t="str">
        <x:v>Recovery</x:v>
      </x:c>
      <x:c r="D6" s="32" t="str">
        <x:v>Xen Orchestra</x:v>
      </x:c>
      <x:c r="E6" s="32" t="str">
        <x:v>Snapshot recorded</x:v>
      </x:c>
      <x:c r="F6" s="32" t="str">
        <x:v>Review Inventory</x:v>
      </x:c>
      <x:c r="G6" s="32" t="str">
        <x:v>Snapshot ID/name present</x:v>
      </x:c>
      <x:c r="H6" s="32"/>
      <x:c r="I6" s="32" t="str">
        <x:v>Not Run</x:v>
      </x:c>
      <x:c r="J6" s="32"/>
      <x:c r="K6" s="32"/>
      <x:c r="L6" s="92"/>
    </x:row>
    <x:row r="7">
      <x:c r="A7" s="32" t="str">
        <x:v>VAL-03</x:v>
      </x:c>
      <x:c r="B7" s="32" t="str">
        <x:v>B03</x:v>
      </x:c>
      <x:c r="C7" s="32" t="str">
        <x:v>Scripts</x:v>
      </x:c>
      <x:c r="D7" s="32" t="str">
        <x:v>Student VM</x:v>
      </x:c>
      <x:c r="E7" s="32" t="str">
        <x:v>Bash syntax valid</x:v>
      </x:c>
      <x:c r="F7" s="32" t="str">
        <x:v>bash -n /opt/process-lab/*.sh</x:v>
      </x:c>
      <x:c r="G7" s="32" t="str">
        <x:v>No syntax errors</x:v>
      </x:c>
      <x:c r="H7" s="32"/>
      <x:c r="I7" s="32" t="str">
        <x:v>Not Run</x:v>
      </x:c>
      <x:c r="J7" s="32"/>
      <x:c r="K7" s="32"/>
      <x:c r="L7" s="92"/>
    </x:row>
    <x:row r="8">
      <x:c r="A8" s="32" t="str">
        <x:v>VAL-04</x:v>
      </x:c>
      <x:c r="B8" s="32" t="str">
        <x:v>B05</x:v>
      </x:c>
      <x:c r="C8" s="32" t="str">
        <x:v>Process ID</x:v>
      </x:c>
      <x:c r="D8" s="32" t="str">
        <x:v>Report generator</x:v>
      </x:c>
      <x:c r="E8" s="32" t="str">
        <x:v>PID and PPID identified</x:v>
      </x:c>
      <x:c r="F8" s="32" t="str">
        <x:v>ps / pgrep</x:v>
      </x:c>
      <x:c r="G8" s="32" t="str">
        <x:v>Correct process details</x:v>
      </x:c>
      <x:c r="H8" s="32"/>
      <x:c r="I8" s="32" t="str">
        <x:v>Not Run</x:v>
      </x:c>
      <x:c r="J8" s="32"/>
      <x:c r="K8" s="32"/>
      <x:c r="L8" s="92"/>
    </x:row>
    <x:row r="9">
      <x:c r="A9" s="32" t="str">
        <x:v>VAL-05</x:v>
      </x:c>
      <x:c r="B9" s="32" t="str">
        <x:v>B08</x:v>
      </x:c>
      <x:c r="C9" s="32" t="str">
        <x:v>Job control</x:v>
      </x:c>
      <x:c r="D9" s="32" t="str">
        <x:v>Shell</x:v>
      </x:c>
      <x:c r="E9" s="32" t="str">
        <x:v>fg/bg/jobs behavior</x:v>
      </x:c>
      <x:c r="F9" s="32" t="str">
        <x:v>jobs -l; fg; bg</x:v>
      </x:c>
      <x:c r="G9" s="32" t="str">
        <x:v>Expected state transitions</x:v>
      </x:c>
      <x:c r="H9" s="32"/>
      <x:c r="I9" s="32" t="str">
        <x:v>Not Run</x:v>
      </x:c>
      <x:c r="J9" s="32"/>
      <x:c r="K9" s="32"/>
      <x:c r="L9" s="92"/>
    </x:row>
    <x:row r="10">
      <x:c r="A10" s="32" t="str">
        <x:v>VAL-06</x:v>
      </x:c>
      <x:c r="B10" s="32" t="str">
        <x:v>B09-B12</x:v>
      </x:c>
      <x:c r="C10" s="32" t="str">
        <x:v>Signals</x:v>
      </x:c>
      <x:c r="D10" s="32" t="str">
        <x:v>Report generator</x:v>
      </x:c>
      <x:c r="E10" s="32" t="str">
        <x:v>STOP/CONT/TERM/KILL demonstrated</x:v>
      </x:c>
      <x:c r="F10" s="32" t="str">
        <x:v>kill commands and ps</x:v>
      </x:c>
      <x:c r="G10" s="32" t="str">
        <x:v>Correct process behavior</x:v>
      </x:c>
      <x:c r="H10" s="32"/>
      <x:c r="I10" s="32" t="str">
        <x:v>Not Run</x:v>
      </x:c>
      <x:c r="J10" s="32"/>
      <x:c r="K10" s="32"/>
      <x:c r="L10" s="92"/>
    </x:row>
    <x:row r="11">
      <x:c r="A11" s="32" t="str">
        <x:v>VAL-07</x:v>
      </x:c>
      <x:c r="B11" s="32" t="str">
        <x:v>B15</x:v>
      </x:c>
      <x:c r="C11" s="32" t="str">
        <x:v>CPU</x:v>
      </x:c>
      <x:c r="D11" s="32" t="str">
        <x:v>CPU worker</x:v>
      </x:c>
      <x:c r="E11" s="32" t="str">
        <x:v>High CPU detected</x:v>
      </x:c>
      <x:c r="F11" s="32" t="str">
        <x:v>top / ps sorted by CPU</x:v>
      </x:c>
      <x:c r="G11" s="32" t="str">
        <x:v>Worker identified</x:v>
      </x:c>
      <x:c r="H11" s="32"/>
      <x:c r="I11" s="32" t="str">
        <x:v>Not Run</x:v>
      </x:c>
      <x:c r="J11" s="32"/>
      <x:c r="K11" s="32"/>
      <x:c r="L11" s="92"/>
    </x:row>
    <x:row r="12">
      <x:c r="A12" s="32" t="str">
        <x:v>VAL-08</x:v>
      </x:c>
      <x:c r="B12" s="32" t="str">
        <x:v>B16-B17</x:v>
      </x:c>
      <x:c r="C12" s="32" t="str">
        <x:v>Priority</x:v>
      </x:c>
      <x:c r="D12" s="32" t="str">
        <x:v>CPU worker</x:v>
      </x:c>
      <x:c r="E12" s="32" t="str">
        <x:v>nice/renice values confirmed</x:v>
      </x:c>
      <x:c r="F12" s="32" t="str">
        <x:v>ps -o ni,pri</x:v>
      </x:c>
      <x:c r="G12" s="32" t="str">
        <x:v>NI 10 and NI 15 observed</x:v>
      </x:c>
      <x:c r="H12" s="32"/>
      <x:c r="I12" s="32" t="str">
        <x:v>Not Run</x:v>
      </x:c>
      <x:c r="J12" s="32"/>
      <x:c r="K12" s="32"/>
      <x:c r="L12" s="92"/>
    </x:row>
    <x:row r="13">
      <x:c r="A13" s="32" t="str">
        <x:v>VAL-09</x:v>
      </x:c>
      <x:c r="B13" s="32" t="str">
        <x:v>B20</x:v>
      </x:c>
      <x:c r="C13" s="32" t="str">
        <x:v>Persistence</x:v>
      </x:c>
      <x:c r="D13" s="32" t="str">
        <x:v>nohup process</x:v>
      </x:c>
      <x:c r="E13" s="32" t="str">
        <x:v>Survives logout</x:v>
      </x:c>
      <x:c r="F13" s="32" t="str">
        <x:v>Reconnect and ps</x:v>
      </x:c>
      <x:c r="G13" s="32" t="str">
        <x:v>Same PID still running</x:v>
      </x:c>
      <x:c r="H13" s="32"/>
      <x:c r="I13" s="32" t="str">
        <x:v>Not Run</x:v>
      </x:c>
      <x:c r="J13" s="32"/>
      <x:c r="K13" s="32"/>
      <x:c r="L13" s="92"/>
    </x:row>
    <x:row r="14">
      <x:c r="A14" s="32" t="str">
        <x:v>VAL-10</x:v>
      </x:c>
      <x:c r="B14" s="32" t="str">
        <x:v>B21</x:v>
      </x:c>
      <x:c r="C14" s="32" t="str">
        <x:v>/proc</x:v>
      </x:c>
      <x:c r="D14" s="32" t="str">
        <x:v>Report process</x:v>
      </x:c>
      <x:c r="E14" s="32" t="str">
        <x:v>Process details inspected</x:v>
      </x:c>
      <x:c r="F14" s="32" t="str">
        <x:v>/proc/&lt;PID&gt;</x:v>
      </x:c>
      <x:c r="G14" s="32" t="str">
        <x:v>Status, limits and FDs recorded</x:v>
      </x:c>
      <x:c r="H14" s="32"/>
      <x:c r="I14" s="32" t="str">
        <x:v>Not Run</x:v>
      </x:c>
      <x:c r="J14" s="32"/>
      <x:c r="K14" s="32"/>
      <x:c r="L14" s="92"/>
    </x:row>
    <x:row r="15">
      <x:c r="A15" s="32" t="str">
        <x:v>VAL-11</x:v>
      </x:c>
      <x:c r="B15" s="32" t="str">
        <x:v>B23</x:v>
      </x:c>
      <x:c r="C15" s="32" t="str">
        <x:v>Hierarchy</x:v>
      </x:c>
      <x:c r="D15" s="32" t="str">
        <x:v>Parent-child script</x:v>
      </x:c>
      <x:c r="E15" s="32" t="str">
        <x:v>Process tree visible</x:v>
      </x:c>
      <x:c r="F15" s="32" t="str">
        <x:v>pstree -p</x:v>
      </x:c>
      <x:c r="G15" s="32" t="str">
        <x:v>Parent and two children shown</x:v>
      </x:c>
      <x:c r="H15" s="32"/>
      <x:c r="I15" s="32" t="str">
        <x:v>Not Run</x:v>
      </x:c>
      <x:c r="J15" s="32"/>
      <x:c r="K15" s="32"/>
      <x:c r="L15" s="92"/>
    </x:row>
    <x:row r="16">
      <x:c r="A16" s="32" t="str">
        <x:v>VAL-12</x:v>
      </x:c>
      <x:c r="B16" s="32" t="str">
        <x:v>B25</x:v>
      </x:c>
      <x:c r="C16" s="32" t="str">
        <x:v>Zombie</x:v>
      </x:c>
      <x:c r="D16" s="32" t="str">
        <x:v>Zombie program</x:v>
      </x:c>
      <x:c r="E16" s="32" t="str">
        <x:v>Zombie state identified</x:v>
      </x:c>
      <x:c r="F16" s="32" t="str">
        <x:v>ps STAT</x:v>
      </x:c>
      <x:c r="G16" s="32" t="str">
        <x:v>Z / defunct observed</x:v>
      </x:c>
      <x:c r="H16" s="32"/>
      <x:c r="I16" s="32" t="str">
        <x:v>Not Run</x:v>
      </x:c>
      <x:c r="J16" s="32"/>
      <x:c r="K16" s="32"/>
      <x:c r="L16" s="92"/>
    </x:row>
    <x:row r="17">
      <x:c r="A17" s="32" t="str">
        <x:v>VAL-13</x:v>
      </x:c>
      <x:c r="B17" s="32" t="str">
        <x:v>B29</x:v>
      </x:c>
      <x:c r="C17" s="32" t="str">
        <x:v>systemd</x:v>
      </x:c>
      <x:c r="D17" s="32" t="str">
        <x:v>report-generator.service</x:v>
      </x:c>
      <x:c r="E17" s="32" t="str">
        <x:v>Service active and enabled</x:v>
      </x:c>
      <x:c r="F17" s="32" t="str">
        <x:v>systemctl</x:v>
      </x:c>
      <x:c r="G17" s="32" t="str">
        <x:v>active and enabled</x:v>
      </x:c>
      <x:c r="H17" s="32"/>
      <x:c r="I17" s="32" t="str">
        <x:v>Not Run</x:v>
      </x:c>
      <x:c r="J17" s="32"/>
      <x:c r="K17" s="32"/>
      <x:c r="L17" s="92"/>
    </x:row>
    <x:row r="18">
      <x:c r="A18" s="32" t="str">
        <x:v>VAL-14</x:v>
      </x:c>
      <x:c r="B18" s="32" t="str">
        <x:v>B30</x:v>
      </x:c>
      <x:c r="C18" s="32" t="str">
        <x:v>Resilience</x:v>
      </x:c>
      <x:c r="D18" s="32" t="str">
        <x:v>systemd</x:v>
      </x:c>
      <x:c r="E18" s="32" t="str">
        <x:v>Restart on failure</x:v>
      </x:c>
      <x:c r="F18" s="32" t="str">
        <x:v>kill -9 MainPID</x:v>
      </x:c>
      <x:c r="G18" s="32" t="str">
        <x:v>New PID after restart</x:v>
      </x:c>
      <x:c r="H18" s="32"/>
      <x:c r="I18" s="32" t="str">
        <x:v>Not Run</x:v>
      </x:c>
      <x:c r="J18" s="32"/>
      <x:c r="K18" s="32"/>
      <x:c r="L18" s="92"/>
    </x:row>
    <x:row r="19">
      <x:c r="A19" s="32" t="str">
        <x:v>VAL-15</x:v>
      </x:c>
      <x:c r="B19" s="32" t="str">
        <x:v>C03</x:v>
      </x:c>
      <x:c r="C19" s="32" t="str">
        <x:v>Least privilege</x:v>
      </x:c>
      <x:c r="D19" s="32" t="str">
        <x:v>Service process</x:v>
      </x:c>
      <x:c r="E19" s="32" t="str">
        <x:v>Runs as reportsvc</x:v>
      </x:c>
      <x:c r="F19" s="32" t="str">
        <x:v>ps -o user</x:v>
      </x:c>
      <x:c r="G19" s="32" t="str">
        <x:v>Owner reportsvc</x:v>
      </x:c>
      <x:c r="H19" s="32"/>
      <x:c r="I19" s="32" t="str">
        <x:v>Not Run</x:v>
      </x:c>
      <x:c r="J19" s="32"/>
      <x:c r="K19" s="32"/>
      <x:c r="L19" s="92"/>
    </x:row>
    <x:row r="20">
      <x:c r="A20" s="32" t="str">
        <x:v>VAL-16</x:v>
      </x:c>
      <x:c r="B20" s="32" t="str">
        <x:v>C04</x:v>
      </x:c>
      <x:c r="C20" s="32" t="str">
        <x:v>Logging</x:v>
      </x:c>
      <x:c r="D20" s="32" t="str">
        <x:v>Report service</x:v>
      </x:c>
      <x:c r="E20" s="32" t="str">
        <x:v>Log growth confirmed</x:v>
      </x:c>
      <x:c r="F20" s="32" t="str">
        <x:v>tail / sleep / tail</x:v>
      </x:c>
      <x:c r="G20" s="32" t="str">
        <x:v>New timestamps</x:v>
      </x:c>
      <x:c r="H20" s="32"/>
      <x:c r="I20" s="32" t="str">
        <x:v>Not Run</x:v>
      </x:c>
      <x:c r="J20" s="32"/>
      <x:c r="K20" s="32"/>
      <x:c r="L20" s="92"/>
    </x:row>
    <x:row r="21">
      <x:c r="A21" s="32" t="str">
        <x:v>VAL-17</x:v>
      </x:c>
      <x:c r="B21" s="32" t="str">
        <x:v>C06-C08</x:v>
      </x:c>
      <x:c r="C21" s="32" t="str">
        <x:v>Incident</x:v>
      </x:c>
      <x:c r="D21" s="32" t="str">
        <x:v>Student VM</x:v>
      </x:c>
      <x:c r="E21" s="32" t="str">
        <x:v>High CPU incident resolved</x:v>
      </x:c>
      <x:c r="F21" s="32" t="str">
        <x:v>uptime/top/renice/kill/systemctl</x:v>
      </x:c>
      <x:c r="G21" s="32" t="str">
        <x:v>Worker stopped; service healthy</x:v>
      </x:c>
      <x:c r="H21" s="32"/>
      <x:c r="I21" s="32" t="str">
        <x:v>Not Run</x:v>
      </x:c>
      <x:c r="J21" s="32"/>
      <x:c r="K21" s="32"/>
      <x:c r="L21" s="92"/>
    </x:row>
    <x:row r="22">
      <x:c r="A22" s="32" t="str">
        <x:v>VAL-18</x:v>
      </x:c>
      <x:c r="B22" s="32" t="str">
        <x:v>C09</x:v>
      </x:c>
      <x:c r="C22" s="32" t="str">
        <x:v>Automation</x:v>
      </x:c>
      <x:c r="D22" s="32" t="str">
        <x:v>Project validator</x:v>
      </x:c>
      <x:c r="E22" s="32" t="str">
        <x:v>Validation script passes</x:v>
      </x:c>
      <x:c r="F22" s="32" t="str">
        <x:v>validate-project.sh</x:v>
      </x:c>
      <x:c r="G22" s="32" t="str">
        <x:v>PROJECT VALIDATION SUCCESSFUL</x:v>
      </x:c>
      <x:c r="H22" s="32"/>
      <x:c r="I22" s="32" t="str">
        <x:v>Not Run</x:v>
      </x:c>
      <x:c r="J22" s="32"/>
      <x:c r="K22" s="32"/>
      <x:c r="L22" s="92"/>
    </x:row>
    <x:row r="23">
      <x:c r="A23" s="32" t="str">
        <x:v>VAL-19</x:v>
      </x:c>
      <x:c r="B23" s="32" t="str">
        <x:v>C11</x:v>
      </x:c>
      <x:c r="C23" s="32" t="str">
        <x:v>Business</x:v>
      </x:c>
      <x:c r="D23" s="32" t="str">
        <x:v>Incident report</x:v>
      </x:c>
      <x:c r="E23" s="32" t="str">
        <x:v>Report complete</x:v>
      </x:c>
      <x:c r="F23" s="32" t="str">
        <x:v>Document review</x:v>
      </x:c>
      <x:c r="G23" s="32" t="str">
        <x:v>Root cause/actions/validation included</x:v>
      </x:c>
      <x:c r="H23" s="32"/>
      <x:c r="I23" s="32" t="str">
        <x:v>Not Run</x:v>
      </x:c>
      <x:c r="J23" s="32"/>
      <x:c r="K23" s="32"/>
      <x:c r="L23" s="92"/>
    </x:row>
    <x:row r="24">
      <x:c r="A24" s="32" t="str">
        <x:v>VAL-20</x:v>
      </x:c>
      <x:c r="B24" s="32" t="str">
        <x:v>C12</x:v>
      </x:c>
      <x:c r="C24" s="32" t="str">
        <x:v>Acceptance</x:v>
      </x:c>
      <x:c r="D24" s="32" t="str">
        <x:v>Change record</x:v>
      </x:c>
      <x:c r="E24" s="32" t="str">
        <x:v>Instructor sign-off</x:v>
      </x:c>
      <x:c r="F24" s="32" t="str">
        <x:v>Approval review</x:v>
      </x:c>
      <x:c r="G24" s="32" t="str">
        <x:v>Accepted / punch list</x:v>
      </x:c>
      <x:c r="H24" s="32"/>
      <x:c r="I24" s="32" t="str">
        <x:v>Not Run</x:v>
      </x:c>
      <x:c r="J24" s="32"/>
      <x:c r="K24" s="32"/>
      <x:c r="L24" s="92"/>
    </x:row>
  </x:sheetData>
  <x:mergeCells>
    <x:mergeCell ref="A1:L1"/>
    <x:mergeCell ref="A2:L2"/>
  </x:mergeCells>
  <x:conditionalFormatting sqref="I5:I24">
    <x:cfRule type="expression" dxfId="20" priority="1">
      <x:formula>I5="Complete"</x:formula>
    </x:cfRule>
    <x:cfRule type="expression" dxfId="21" priority="2">
      <x:formula>I5="In Progress"</x:formula>
    </x:cfRule>
    <x:cfRule type="expression" dxfId="22" priority="3">
      <x:formula>I5="Failed"</x:formula>
    </x:cfRule>
    <x:cfRule type="expression" dxfId="23" priority="4">
      <x:formula>I5="Approved"</x:formula>
    </x:cfRule>
    <x:cfRule type="expression" dxfId="24" priority="5">
      <x:formula>I5="Pending"</x:formula>
    </x:cfRule>
  </x:conditionalFormatting>
  <x:dataValidations count="1">
    <x:dataValidation type="list" sqref="I5:I24">
      <x:formula1>"Not Run,Pass,Fail,Conditional Pass,Not Applicable"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2" hidden="0" customWidth="1"/>
    <x:col min="4" max="4" width="24" hidden="0" customWidth="1"/>
    <x:col min="5" max="5" width="20" hidden="0" customWidth="1"/>
    <x:col min="6" max="6" width="24" hidden="0" customWidth="1"/>
    <x:col min="7" max="7" width="34" hidden="0" customWidth="1"/>
    <x:col min="8" max="8" width="20" hidden="0" customWidth="1"/>
  </x:cols>
  <x:sheetData>
    <x:row r="1" ht="30" customHeight="1">
      <x:c r="A1" s="5" t="str">
        <x:v>Approvals, Contacts and Execution Sign-Off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Business ownership, technical accountability and formal project acceptance.</x:v>
      </x:c>
      <x:c r="B2" s="12"/>
      <x:c r="C2" s="12"/>
      <x:c r="D2" s="12"/>
      <x:c r="E2" s="12"/>
      <x:c r="F2" s="12"/>
      <x:c r="G2" s="12"/>
      <x:c r="H2" s="12"/>
    </x:row>
    <x:row r="3" ht="24" customHeight="1">
      <x:c r="A3" s="18" t="str">
        <x:v>Change Team and Escalation Contacts</x:v>
      </x:c>
      <x:c r="B3" s="18"/>
      <x:c r="C3" s="18"/>
      <x:c r="D3" s="18"/>
      <x:c r="E3" s="18"/>
      <x:c r="F3" s="18"/>
      <x:c r="G3" s="18"/>
      <x:c r="H3" s="18"/>
    </x:row>
    <x:row r="4">
      <x:c r="A4" s="25" t="str">
        <x:v>Role</x:v>
      </x:c>
      <x:c r="B4" s="25" t="str">
        <x:v>Name</x:v>
      </x:c>
      <x:c r="C4" s="25" t="str">
        <x:v>Team</x:v>
      </x:c>
      <x:c r="D4" s="25" t="str">
        <x:v>Phone / Bridge</x:v>
      </x:c>
      <x:c r="E4" s="25" t="str">
        <x:v>Email / Chat</x:v>
      </x:c>
      <x:c r="F4" s="25" t="str">
        <x:v>Available From</x:v>
      </x:c>
      <x:c r="G4" s="25" t="str">
        <x:v>Available Until</x:v>
      </x:c>
      <x:c r="H4" s="25" t="str">
        <x:v>Notes</x:v>
      </x:c>
    </x:row>
    <x:row r="5">
      <x:c r="A5" s="32" t="str">
        <x:v>Project Sponsor / Business Owner</x:v>
      </x:c>
      <x:c r="B5" s="32"/>
      <x:c r="C5" s="32" t="str">
        <x:v>NIT Bank Operations Training</x:v>
      </x:c>
      <x:c r="D5" s="32"/>
      <x:c r="E5" s="32"/>
      <x:c r="F5" s="32"/>
      <x:c r="G5" s="32"/>
      <x:c r="H5" s="32" t="str">
        <x:v>Approves business objective and acceptance.</x:v>
      </x:c>
    </x:row>
    <x:row r="6">
      <x:c r="A6" s="32" t="str">
        <x:v>Project Manager / Instructor</x:v>
      </x:c>
      <x:c r="B6" s="32"/>
      <x:c r="C6" s="32" t="str">
        <x:v>Training Delivery</x:v>
      </x:c>
      <x:c r="D6" s="32"/>
      <x:c r="E6" s="32"/>
      <x:c r="F6" s="32"/>
      <x:c r="G6" s="32"/>
      <x:c r="H6" s="32" t="str">
        <x:v>Owns scope, schedule, cost and change approval.</x:v>
      </x:c>
    </x:row>
    <x:row r="7">
      <x:c r="A7" s="32" t="str">
        <x:v>Linux Technical Lead</x:v>
      </x:c>
      <x:c r="B7" s="32"/>
      <x:c r="C7" s="32" t="str">
        <x:v>Linux Operations</x:v>
      </x:c>
      <x:c r="D7" s="32"/>
      <x:c r="E7" s="32"/>
      <x:c r="F7" s="32"/>
      <x:c r="G7" s="32"/>
      <x:c r="H7" s="32" t="str">
        <x:v>Owns technical standard and troubleshooting escalation.</x:v>
      </x:c>
    </x:row>
    <x:row r="8">
      <x:c r="A8" s="32" t="str">
        <x:v>Xen Orchestra Administrator</x:v>
      </x:c>
      <x:c r="B8" s="32"/>
      <x:c r="C8" s="32" t="str">
        <x:v>Lab Infrastructure</x:v>
      </x:c>
      <x:c r="D8" s="32"/>
      <x:c r="E8" s="32"/>
      <x:c r="F8" s="32"/>
      <x:c r="G8" s="32"/>
      <x:c r="H8" s="32" t="str">
        <x:v>Owns VM assignment, console and snapshots.</x:v>
      </x:c>
    </x:row>
    <x:row r="9">
      <x:c r="A9" s="32" t="str">
        <x:v>Document Controller</x:v>
      </x:c>
      <x:c r="B9" s="32"/>
      <x:c r="C9" s="32" t="str">
        <x:v>Project Controls</x:v>
      </x:c>
      <x:c r="D9" s="32"/>
      <x:c r="E9" s="32"/>
      <x:c r="F9" s="32"/>
      <x:c r="G9" s="32"/>
      <x:c r="H9" s="32" t="str">
        <x:v>Owns revisions, evidence and final document pack.</x:v>
      </x:c>
    </x:row>
    <x:row r="10">
      <x:c r="A10" s="32" t="str">
        <x:v>Student Team Lead</x:v>
      </x:c>
      <x:c r="B10" s="32"/>
      <x:c r="C10" s="32" t="str">
        <x:v>Student Team</x:v>
      </x:c>
      <x:c r="D10" s="32"/>
      <x:c r="E10" s="32"/>
      <x:c r="F10" s="32"/>
      <x:c r="G10" s="32"/>
      <x:c r="H10" s="32" t="str">
        <x:v>Coordinates execution and evidence.</x:v>
      </x:c>
    </x:row>
    <x:row r="13" ht="24" customHeight="1">
      <x:c r="A13" s="18" t="str">
        <x:v>Approval and Sign-Off Log</x:v>
      </x:c>
      <x:c r="B13" s="18"/>
      <x:c r="C13" s="18"/>
      <x:c r="D13" s="18"/>
      <x:c r="E13" s="18"/>
      <x:c r="F13" s="18"/>
      <x:c r="G13" s="18"/>
      <x:c r="H13" s="18"/>
    </x:row>
    <x:row r="14">
      <x:c r="A14" s="25" t="str">
        <x:v>Stage</x:v>
      </x:c>
      <x:c r="B14" s="25" t="str">
        <x:v>Decision</x:v>
      </x:c>
      <x:c r="C14" s="25" t="str">
        <x:v>Approver</x:v>
      </x:c>
      <x:c r="D14" s="25" t="str">
        <x:v>Role</x:v>
      </x:c>
      <x:c r="E14" s="25" t="str">
        <x:v>Date / Time</x:v>
      </x:c>
      <x:c r="F14" s="25" t="str">
        <x:v>Evidence / Ticket Ref</x:v>
      </x:c>
      <x:c r="G14" s="25" t="str">
        <x:v>Comments</x:v>
      </x:c>
      <x:c r="H14" s="25" t="str">
        <x:v>Signature / Initials</x:v>
      </x:c>
    </x:row>
    <x:row r="15">
      <x:c r="A15" s="32" t="str">
        <x:v>Project Charter / CTR Approval</x:v>
      </x:c>
      <x:c r="B15" s="32" t="str">
        <x:v>Pending</x:v>
      </x:c>
      <x:c r="C15" s="32"/>
      <x:c r="D15" s="32" t="str">
        <x:v>Business Owner</x:v>
      </x:c>
      <x:c r="E15" s="92"/>
      <x:c r="F15" s="32"/>
      <x:c r="G15" s="32"/>
      <x:c r="H15" s="32"/>
    </x:row>
    <x:row r="16">
      <x:c r="A16" s="32" t="str">
        <x:v>NCD / Change Approval</x:v>
      </x:c>
      <x:c r="B16" s="32" t="str">
        <x:v>Pending</x:v>
      </x:c>
      <x:c r="C16" s="32"/>
      <x:c r="D16" s="32" t="str">
        <x:v>Project Manager</x:v>
      </x:c>
      <x:c r="E16" s="92"/>
      <x:c r="F16" s="32"/>
      <x:c r="G16" s="32"/>
      <x:c r="H16" s="32"/>
    </x:row>
    <x:row r="17">
      <x:c r="A17" s="32" t="str">
        <x:v>Go / No-Go</x:v>
      </x:c>
      <x:c r="B17" s="32" t="str">
        <x:v>Pending</x:v>
      </x:c>
      <x:c r="C17" s="32"/>
      <x:c r="D17" s="32" t="str">
        <x:v>Project Manager</x:v>
      </x:c>
      <x:c r="E17" s="92"/>
      <x:c r="F17" s="32"/>
      <x:c r="G17" s="32"/>
      <x:c r="H17" s="32"/>
    </x:row>
    <x:row r="18">
      <x:c r="A18" s="32" t="str">
        <x:v>Post-Implementation Technical Validation</x:v>
      </x:c>
      <x:c r="B18" s="32" t="str">
        <x:v>Pending</x:v>
      </x:c>
      <x:c r="C18" s="32"/>
      <x:c r="D18" s="32" t="str">
        <x:v>Linux Technical Lead</x:v>
      </x:c>
      <x:c r="E18" s="92"/>
      <x:c r="F18" s="32"/>
      <x:c r="G18" s="32"/>
      <x:c r="H18" s="32"/>
    </x:row>
    <x:row r="19">
      <x:c r="A19" s="32" t="str">
        <x:v>Student Deliverable Acceptance</x:v>
      </x:c>
      <x:c r="B19" s="32" t="str">
        <x:v>Pending</x:v>
      </x:c>
      <x:c r="C19" s="32"/>
      <x:c r="D19" s="32" t="str">
        <x:v>Instructor</x:v>
      </x:c>
      <x:c r="E19" s="92"/>
      <x:c r="F19" s="32"/>
      <x:c r="G19" s="32"/>
      <x:c r="H19" s="32"/>
    </x:row>
    <x:row r="20">
      <x:c r="A20" s="32" t="str">
        <x:v>Rollback Authorization (if used)</x:v>
      </x:c>
      <x:c r="B20" s="32" t="str">
        <x:v>Not Applicable</x:v>
      </x:c>
      <x:c r="C20" s="32"/>
      <x:c r="D20" s="32" t="str">
        <x:v>Project Manager</x:v>
      </x:c>
      <x:c r="E20" s="92"/>
      <x:c r="F20" s="32"/>
      <x:c r="G20" s="32"/>
      <x:c r="H20" s="32"/>
    </x:row>
    <x:row r="21">
      <x:c r="A21" s="32" t="str">
        <x:v>Project Closure</x:v>
      </x:c>
      <x:c r="B21" s="32" t="str">
        <x:v>Pending</x:v>
      </x:c>
      <x:c r="C21" s="32"/>
      <x:c r="D21" s="32" t="str">
        <x:v>Business Owner / PM</x:v>
      </x:c>
      <x:c r="E21" s="92"/>
      <x:c r="F21" s="32"/>
      <x:c r="G21" s="32"/>
      <x:c r="H21" s="32"/>
    </x:row>
  </x:sheetData>
  <x:mergeCells>
    <x:mergeCell ref="A1:H1"/>
    <x:mergeCell ref="A2:H2"/>
    <x:mergeCell ref="A3:H3"/>
    <x:mergeCell ref="A13:H13"/>
  </x:mergeCells>
  <x:conditionalFormatting sqref="B15:B21">
    <x:cfRule type="expression" dxfId="25" priority="1">
      <x:formula>B15="Complete"</x:formula>
    </x:cfRule>
    <x:cfRule type="expression" dxfId="26" priority="2">
      <x:formula>B15="In Progress"</x:formula>
    </x:cfRule>
    <x:cfRule type="expression" dxfId="27" priority="3">
      <x:formula>B15="Failed"</x:formula>
    </x:cfRule>
    <x:cfRule type="expression" dxfId="28" priority="4">
      <x:formula>B15="Approved"</x:formula>
    </x:cfRule>
    <x:cfRule type="expression" dxfId="29" priority="5">
      <x:formula>B15="Pending"</x:formula>
    </x:cfRule>
  </x:conditionalFormatting>
  <x:dataValidations count="1">
    <x:dataValidation type="list" sqref="B15:B21">
      <x:formula1>"Pending,Approved,Rejected,Not Applicable,Closed"</x:formula1>
    </x:dataValidation>
  </x:dataValidations>
  <x:pageMargins left="0.7" right="0.7" top="0.75" bottom="0.75" header="0.3" footer="0.3"/>
</x:worksheet>
</file>