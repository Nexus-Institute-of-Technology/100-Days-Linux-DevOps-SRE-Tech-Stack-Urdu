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9f083691b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face Technical Query" sheetId="1" r:id="Rd8917a533e144f34"/>
    <x:sheet xmlns:r="http://schemas.openxmlformats.org/officeDocument/2006/relationships" name="ITQ Summary" sheetId="2" r:id="R0d7733b6bc2f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efa7ce48949b2" /><Relationship Type="http://schemas.openxmlformats.org/officeDocument/2006/relationships/theme" Target="/xl/theme/theme1.xml" Id="R1a49ac5e41314481" /><Relationship Type="http://schemas.openxmlformats.org/officeDocument/2006/relationships/sharedStrings" Target="/xl/sharedStrings.xml" Id="R59340892b4ba4714" /><Relationship Type="http://schemas.openxmlformats.org/officeDocument/2006/relationships/worksheet" Target="/xl/worksheets/sheet1.xml" Id="Rd8917a533e144f34" /><Relationship Type="http://schemas.openxmlformats.org/officeDocument/2006/relationships/worksheet" Target="/xl/worksheets/sheet2.xml" Id="R0d7733b6bc2f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22" hidden="0" customWidth="1"/>
    <x:col min="5" max="5" width="13" hidden="0" customWidth="1"/>
    <x:col min="6" max="6" width="20" hidden="0" customWidth="1"/>
    <x:col min="7" max="7" width="22" hidden="0" customWidth="1"/>
    <x:col min="8" max="8" width="48" hidden="0" customWidth="1"/>
    <x:col min="9" max="9" width="18" hidden="0" customWidth="1"/>
    <x:col min="10" max="10" width="34" hidden="0" customWidth="1"/>
    <x:col min="11" max="11" width="18" hidden="0" customWidth="1"/>
    <x:col min="12" max="12" width="32" hidden="0" customWidth="1"/>
    <x:col min="13" max="13" width="14" hidden="0" customWidth="1"/>
  </x:cols>
  <x:sheetData>
    <x:row r="1" ht="30" customHeight="1">
      <x:c r="A1" s="5" t="str">
        <x:v>INTERFACE REGISTER – TECHNICAL / BUSINESS QUERY (ITQ)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Open questions, customer inputs, ownership and closure evidence for the Linux Process Operations Lab.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0" t="str">
        <x:v>TQ Number</x:v>
      </x:c>
      <x:c r="B4" s="20" t="str">
        <x:v>Created On</x:v>
      </x:c>
      <x:c r="C4" s="20" t="str">
        <x:v>Initiator</x:v>
      </x:c>
      <x:c r="D4" s="20" t="str">
        <x:v>Responsible Person</x:v>
      </x:c>
      <x:c r="E4" s="20" t="str">
        <x:v>Due Date</x:v>
      </x:c>
      <x:c r="F4" s="20" t="str">
        <x:v>Reference Document</x:v>
      </x:c>
      <x:c r="G4" s="20" t="str">
        <x:v>Document Description</x:v>
      </x:c>
      <x:c r="H4" s="20" t="str">
        <x:v>Action / Information Requested</x:v>
      </x:c>
      <x:c r="I4" s="20" t="str">
        <x:v>Initial Requirement Confirmed</x:v>
      </x:c>
      <x:c r="J4" s="20" t="str">
        <x:v>Response / Reference</x:v>
      </x:c>
      <x:c r="K4" s="20" t="str">
        <x:v>Cost or Schedule Impact</x:v>
      </x:c>
      <x:c r="L4" s="20" t="str">
        <x:v>Business Value / Risk</x:v>
      </x:c>
      <x:c r="M4" s="20" t="str">
        <x:v>Status</x:v>
      </x:c>
    </x:row>
    <x:row r="5">
      <x:c r="A5" s="28" t="n">
        <x:v>1</x:v>
      </x:c>
      <x:c r="B5" s="32" t="n">
        <x:v>46224</x:v>
      </x:c>
      <x:c r="C5" s="28" t="str">
        <x:v>Project Controls</x:v>
      </x:c>
      <x:c r="D5" s="28" t="str">
        <x:v>TBD</x:v>
      </x:c>
      <x:c r="E5" s="32" t="n">
        <x:v>46229</x:v>
      </x:c>
      <x:c r="F5" s="28" t="str">
        <x:v>CTR / PMP / NCD</x:v>
      </x:c>
      <x:c r="G5" s="28" t="str">
        <x:v>Capacity / roster</x:v>
      </x:c>
      <x:c r="H5" s="28" t="str">
        <x:v>Confirm final student count and the number of Rocky Linux VMs required.</x:v>
      </x:c>
      <x:c r="I5" s="28" t="str">
        <x:v>No</x:v>
      </x:c>
      <x:c r="J5" s="28"/>
      <x:c r="K5" s="28" t="str">
        <x:v>To Be Assessed</x:v>
      </x:c>
      <x:c r="L5" s="28" t="str">
        <x:v>Class size affects VM capacity, evidence volume and instructor workload.</x:v>
      </x:c>
      <x:c r="M5" s="28" t="str">
        <x:v>OPEN</x:v>
      </x:c>
    </x:row>
    <x:row r="6">
      <x:c r="A6" s="28" t="n">
        <x:v>2</x:v>
      </x:c>
      <x:c r="B6" s="32" t="n">
        <x:v>46224</x:v>
      </x:c>
      <x:c r="C6" s="28" t="str">
        <x:v>Project Controls</x:v>
      </x:c>
      <x:c r="D6" s="28" t="str">
        <x:v>TBD</x:v>
      </x:c>
      <x:c r="E6" s="32" t="n">
        <x:v>46229</x:v>
      </x:c>
      <x:c r="F6" s="28" t="str">
        <x:v>CTR / PMP / NCD</x:v>
      </x:c>
      <x:c r="G6" s="28" t="str">
        <x:v>Asset assignment</x:v>
      </x:c>
      <x:c r="H6" s="28" t="str">
        <x:v>Provide the approved student-to-VM assignment list including hostname and IP address.</x:v>
      </x:c>
      <x:c r="I6" s="28" t="str">
        <x:v>No</x:v>
      </x:c>
      <x:c r="J6" s="28"/>
      <x:c r="K6" s="28" t="str">
        <x:v>To Be Assessed</x:v>
      </x:c>
      <x:c r="L6" s="28" t="str">
        <x:v>Prevents students from changing the wrong system.</x:v>
      </x:c>
      <x:c r="M6" s="28" t="str">
        <x:v>OPEN</x:v>
      </x:c>
    </x:row>
    <x:row r="7">
      <x:c r="A7" s="28" t="n">
        <x:v>3</x:v>
      </x:c>
      <x:c r="B7" s="32" t="n">
        <x:v>46224</x:v>
      </x:c>
      <x:c r="C7" s="28" t="str">
        <x:v>Project Controls</x:v>
      </x:c>
      <x:c r="D7" s="28" t="str">
        <x:v>TBD</x:v>
      </x:c>
      <x:c r="E7" s="32" t="n">
        <x:v>46229</x:v>
      </x:c>
      <x:c r="F7" s="28" t="str">
        <x:v>CTR / PMP / NCD</x:v>
      </x:c>
      <x:c r="G7" s="28" t="str">
        <x:v>Access management</x:v>
      </x:c>
      <x:c r="H7" s="28" t="str">
        <x:v>Confirm that every assigned VM has a working root account and that credentials will be distributed securely.</x:v>
      </x:c>
      <x:c r="I7" s="28" t="str">
        <x:v>No</x:v>
      </x:c>
      <x:c r="J7" s="28"/>
      <x:c r="K7" s="28" t="str">
        <x:v>To Be Assessed</x:v>
      </x:c>
      <x:c r="L7" s="28" t="str">
        <x:v>Missing access blocks the technical work.</x:v>
      </x:c>
      <x:c r="M7" s="28" t="str">
        <x:v>OPEN</x:v>
      </x:c>
    </x:row>
    <x:row r="8">
      <x:c r="A8" s="28" t="n">
        <x:v>4</x:v>
      </x:c>
      <x:c r="B8" s="32" t="n">
        <x:v>46224</x:v>
      </x:c>
      <x:c r="C8" s="28" t="str">
        <x:v>Project Controls</x:v>
      </x:c>
      <x:c r="D8" s="28" t="str">
        <x:v>TBD</x:v>
      </x:c>
      <x:c r="E8" s="32" t="n">
        <x:v>46229</x:v>
      </x:c>
      <x:c r="F8" s="28" t="str">
        <x:v>CTR / PMP / NCD</x:v>
      </x:c>
      <x:c r="G8" s="28" t="str">
        <x:v>Infrastructure sizing</x:v>
      </x:c>
      <x:c r="H8" s="28" t="str">
        <x:v>Confirm the minimum VM specification: vCPU, RAM and disk.</x:v>
      </x:c>
      <x:c r="I8" s="28" t="str">
        <x:v>No</x:v>
      </x:c>
      <x:c r="J8" s="28"/>
      <x:c r="K8" s="28" t="str">
        <x:v>To Be Assessed</x:v>
      </x:c>
      <x:c r="L8" s="28" t="str">
        <x:v>Insufficient resources may cause false performance incidents.</x:v>
      </x:c>
      <x:c r="M8" s="28" t="str">
        <x:v>OPEN</x:v>
      </x:c>
    </x:row>
    <x:row r="9">
      <x:c r="A9" s="28" t="n">
        <x:v>5</x:v>
      </x:c>
      <x:c r="B9" s="32" t="n">
        <x:v>46224</x:v>
      </x:c>
      <x:c r="C9" s="28" t="str">
        <x:v>Project Controls</x:v>
      </x:c>
      <x:c r="D9" s="28" t="str">
        <x:v>TBD</x:v>
      </x:c>
      <x:c r="E9" s="32" t="n">
        <x:v>46229</x:v>
      </x:c>
      <x:c r="F9" s="28" t="str">
        <x:v>CTR / PMP / NCD</x:v>
      </x:c>
      <x:c r="G9" s="28" t="str">
        <x:v>Software prerequisite</x:v>
      </x:c>
      <x:c r="H9" s="28" t="str">
        <x:v>Confirm Rocky Linux version and repository access for procps-ng, psmisc, gcc and tree.</x:v>
      </x:c>
      <x:c r="I9" s="28" t="str">
        <x:v>No</x:v>
      </x:c>
      <x:c r="J9" s="28"/>
      <x:c r="K9" s="28" t="str">
        <x:v>To Be Assessed</x:v>
      </x:c>
      <x:c r="L9" s="28" t="str">
        <x:v>Required commands and compiler may be unavailable.</x:v>
      </x:c>
      <x:c r="M9" s="28" t="str">
        <x:v>OPEN</x:v>
      </x:c>
    </x:row>
    <x:row r="10">
      <x:c r="A10" s="28" t="n">
        <x:v>6</x:v>
      </x:c>
      <x:c r="B10" s="32" t="n">
        <x:v>46224</x:v>
      </x:c>
      <x:c r="C10" s="28" t="str">
        <x:v>Project Controls</x:v>
      </x:c>
      <x:c r="D10" s="28" t="str">
        <x:v>TBD</x:v>
      </x:c>
      <x:c r="E10" s="32" t="n">
        <x:v>46229</x:v>
      </x:c>
      <x:c r="F10" s="28" t="str">
        <x:v>CTR / PMP / NCD</x:v>
      </x:c>
      <x:c r="G10" s="28" t="str">
        <x:v>Recovery interface</x:v>
      </x:c>
      <x:c r="H10" s="28" t="str">
        <x:v>Identify the Xen Orchestra administrator responsible for snapshots, console access and VM recovery.</x:v>
      </x:c>
      <x:c r="I10" s="28" t="str">
        <x:v>No</x:v>
      </x:c>
      <x:c r="J10" s="28"/>
      <x:c r="K10" s="28" t="str">
        <x:v>To Be Assessed</x:v>
      </x:c>
      <x:c r="L10" s="28" t="str">
        <x:v>Rollback may be delayed without an available administrator.</x:v>
      </x:c>
      <x:c r="M10" s="28" t="str">
        <x:v>OPEN</x:v>
      </x:c>
    </x:row>
    <x:row r="11">
      <x:c r="A11" s="28" t="n">
        <x:v>7</x:v>
      </x:c>
      <x:c r="B11" s="32" t="n">
        <x:v>46224</x:v>
      </x:c>
      <x:c r="C11" s="28" t="str">
        <x:v>Project Controls</x:v>
      </x:c>
      <x:c r="D11" s="28" t="str">
        <x:v>TBD</x:v>
      </x:c>
      <x:c r="E11" s="32" t="n">
        <x:v>46229</x:v>
      </x:c>
      <x:c r="F11" s="28" t="str">
        <x:v>CTR / PMP / NCD</x:v>
      </x:c>
      <x:c r="G11" s="28" t="str">
        <x:v>Change control</x:v>
      </x:c>
      <x:c r="H11" s="28" t="str">
        <x:v>Approve the snapshot naming convention and retention period for classroom snapshots.</x:v>
      </x:c>
      <x:c r="I11" s="28" t="str">
        <x:v>No</x:v>
      </x:c>
      <x:c r="J11" s="28"/>
      <x:c r="K11" s="28" t="str">
        <x:v>To Be Assessed</x:v>
      </x:c>
      <x:c r="L11" s="28" t="str">
        <x:v>Uncontrolled snapshots consume storage and create confusion.</x:v>
      </x:c>
      <x:c r="M11" s="28" t="str">
        <x:v>OPEN</x:v>
      </x:c>
    </x:row>
    <x:row r="12">
      <x:c r="A12" s="28" t="n">
        <x:v>8</x:v>
      </x:c>
      <x:c r="B12" s="32" t="n">
        <x:v>46224</x:v>
      </x:c>
      <x:c r="C12" s="28" t="str">
        <x:v>Project Controls</x:v>
      </x:c>
      <x:c r="D12" s="28" t="str">
        <x:v>TBD</x:v>
      </x:c>
      <x:c r="E12" s="32" t="n">
        <x:v>46229</x:v>
      </x:c>
      <x:c r="F12" s="28" t="str">
        <x:v>CTR / PMP / NCD</x:v>
      </x:c>
      <x:c r="G12" s="28" t="str">
        <x:v>Schedule baseline</x:v>
      </x:c>
      <x:c r="H12" s="28" t="str">
        <x:v>Confirm the project start date, daily working hours and final acceptance date.</x:v>
      </x:c>
      <x:c r="I12" s="28" t="str">
        <x:v>No</x:v>
      </x:c>
      <x:c r="J12" s="28"/>
      <x:c r="K12" s="28" t="str">
        <x:v>To Be Assessed</x:v>
      </x:c>
      <x:c r="L12" s="28" t="str">
        <x:v>Required for the master schedule and student deadlines.</x:v>
      </x:c>
      <x:c r="M12" s="28" t="str">
        <x:v>OPEN</x:v>
      </x:c>
    </x:row>
    <x:row r="13">
      <x:c r="A13" s="28" t="n">
        <x:v>9</x:v>
      </x:c>
      <x:c r="B13" s="32" t="n">
        <x:v>46224</x:v>
      </x:c>
      <x:c r="C13" s="28" t="str">
        <x:v>Project Controls</x:v>
      </x:c>
      <x:c r="D13" s="28" t="str">
        <x:v>TBD</x:v>
      </x:c>
      <x:c r="E13" s="32" t="n">
        <x:v>46229</x:v>
      </x:c>
      <x:c r="F13" s="28" t="str">
        <x:v>CTR / PMP / NCD</x:v>
      </x:c>
      <x:c r="G13" s="28" t="str">
        <x:v>Document control</x:v>
      </x:c>
      <x:c r="H13" s="28" t="str">
        <x:v>Confirm the evidence repository and naming convention for screenshots, command output and incident reports.</x:v>
      </x:c>
      <x:c r="I13" s="28" t="str">
        <x:v>No</x:v>
      </x:c>
      <x:c r="J13" s="28"/>
      <x:c r="K13" s="28" t="str">
        <x:v>To Be Assessed</x:v>
      </x:c>
      <x:c r="L13" s="28" t="str">
        <x:v>Evidence may be lost or cannot be traced to a student.</x:v>
      </x:c>
      <x:c r="M13" s="28" t="str">
        <x:v>OPEN</x:v>
      </x:c>
    </x:row>
    <x:row r="14">
      <x:c r="A14" s="28" t="n">
        <x:v>10</x:v>
      </x:c>
      <x:c r="B14" s="32" t="n">
        <x:v>46224</x:v>
      </x:c>
      <x:c r="C14" s="28" t="str">
        <x:v>Project Controls</x:v>
      </x:c>
      <x:c r="D14" s="28" t="str">
        <x:v>TBD</x:v>
      </x:c>
      <x:c r="E14" s="32" t="n">
        <x:v>46229</x:v>
      </x:c>
      <x:c r="F14" s="28" t="str">
        <x:v>CTR / PMP / NCD</x:v>
      </x:c>
      <x:c r="G14" s="28" t="str">
        <x:v>Resource organization</x:v>
      </x:c>
      <x:c r="H14" s="28" t="str">
        <x:v>Confirm whether students work individually or in teams and identify team leads.</x:v>
      </x:c>
      <x:c r="I14" s="28" t="str">
        <x:v>No</x:v>
      </x:c>
      <x:c r="J14" s="28"/>
      <x:c r="K14" s="28" t="str">
        <x:v>To Be Assessed</x:v>
      </x:c>
      <x:c r="L14" s="28" t="str">
        <x:v>Changes responsibility and grading accountability.</x:v>
      </x:c>
      <x:c r="M14" s="28" t="str">
        <x:v>OPEN</x:v>
      </x:c>
    </x:row>
    <x:row r="15">
      <x:c r="A15" s="28" t="n">
        <x:v>11</x:v>
      </x:c>
      <x:c r="B15" s="32" t="n">
        <x:v>46224</x:v>
      </x:c>
      <x:c r="C15" s="28" t="str">
        <x:v>Project Controls</x:v>
      </x:c>
      <x:c r="D15" s="28" t="str">
        <x:v>TBD</x:v>
      </x:c>
      <x:c r="E15" s="32" t="n">
        <x:v>46229</x:v>
      </x:c>
      <x:c r="F15" s="28" t="str">
        <x:v>CTR / PMP / NCD</x:v>
      </x:c>
      <x:c r="G15" s="28" t="str">
        <x:v>Privacy / compliance</x:v>
      </x:c>
      <x:c r="H15" s="28" t="str">
        <x:v>Approve the synthetic bank scenario and confirm that no real customer, account or transaction data will be used.</x:v>
      </x:c>
      <x:c r="I15" s="28" t="str">
        <x:v>No</x:v>
      </x:c>
      <x:c r="J15" s="28"/>
      <x:c r="K15" s="28" t="str">
        <x:v>To Be Assessed</x:v>
      </x:c>
      <x:c r="L15" s="28" t="str">
        <x:v>Prevents data-protection and confidentiality issues.</x:v>
      </x:c>
      <x:c r="M15" s="28" t="str">
        <x:v>OPEN</x:v>
      </x:c>
    </x:row>
    <x:row r="16">
      <x:c r="A16" s="28" t="n">
        <x:v>12</x:v>
      </x:c>
      <x:c r="B16" s="32" t="n">
        <x:v>46224</x:v>
      </x:c>
      <x:c r="C16" s="28" t="str">
        <x:v>Project Controls</x:v>
      </x:c>
      <x:c r="D16" s="28" t="str">
        <x:v>TBD</x:v>
      </x:c>
      <x:c r="E16" s="32" t="n">
        <x:v>46229</x:v>
      </x:c>
      <x:c r="F16" s="28" t="str">
        <x:v>CTR / PMP / NCD</x:v>
      </x:c>
      <x:c r="G16" s="28" t="str">
        <x:v>Governance</x:v>
      </x:c>
      <x:c r="H16" s="28" t="str">
        <x:v>Confirm who acts as Project Sponsor, Project Manager, Linux Technical Lead and Business Approver.</x:v>
      </x:c>
      <x:c r="I16" s="28" t="str">
        <x:v>No</x:v>
      </x:c>
      <x:c r="J16" s="28"/>
      <x:c r="K16" s="28" t="str">
        <x:v>To Be Assessed</x:v>
      </x:c>
      <x:c r="L16" s="28" t="str">
        <x:v>Formal decisions and acceptance need named owners.</x:v>
      </x:c>
      <x:c r="M16" s="28" t="str">
        <x:v>OPEN</x:v>
      </x:c>
    </x:row>
    <x:row r="17">
      <x:c r="A17" s="28" t="n">
        <x:v>13</x:v>
      </x:c>
      <x:c r="B17" s="32" t="n">
        <x:v>46224</x:v>
      </x:c>
      <x:c r="C17" s="28" t="str">
        <x:v>Project Controls</x:v>
      </x:c>
      <x:c r="D17" s="28" t="str">
        <x:v>TBD</x:v>
      </x:c>
      <x:c r="E17" s="32" t="n">
        <x:v>46229</x:v>
      </x:c>
      <x:c r="F17" s="28" t="str">
        <x:v>CTR / PMP / NCD</x:v>
      </x:c>
      <x:c r="G17" s="28" t="str">
        <x:v>Change approval</x:v>
      </x:c>
      <x:c r="H17" s="28" t="str">
        <x:v>Approve the Go / No-Go criteria before technical implementation.</x:v>
      </x:c>
      <x:c r="I17" s="28" t="str">
        <x:v>No</x:v>
      </x:c>
      <x:c r="J17" s="28"/>
      <x:c r="K17" s="28" t="str">
        <x:v>To Be Assessed</x:v>
      </x:c>
      <x:c r="L17" s="28" t="str">
        <x:v>Students must understand that incomplete prerequisites stop a change.</x:v>
      </x:c>
      <x:c r="M17" s="28" t="str">
        <x:v>OPEN</x:v>
      </x:c>
    </x:row>
    <x:row r="18">
      <x:c r="A18" s="28" t="n">
        <x:v>14</x:v>
      </x:c>
      <x:c r="B18" s="32" t="n">
        <x:v>46224</x:v>
      </x:c>
      <x:c r="C18" s="28" t="str">
        <x:v>Project Controls</x:v>
      </x:c>
      <x:c r="D18" s="28" t="str">
        <x:v>TBD</x:v>
      </x:c>
      <x:c r="E18" s="32" t="n">
        <x:v>46229</x:v>
      </x:c>
      <x:c r="F18" s="28" t="str">
        <x:v>CTR / PMP / NCD</x:v>
      </x:c>
      <x:c r="G18" s="28" t="str">
        <x:v>Rollback strategy</x:v>
      </x:c>
      <x:c r="H18" s="28" t="str">
        <x:v>Approve the rollback triggers and whether snapshot revert or manual cleanup is the preferred method.</x:v>
      </x:c>
      <x:c r="I18" s="28" t="str">
        <x:v>No</x:v>
      </x:c>
      <x:c r="J18" s="28"/>
      <x:c r="K18" s="28" t="str">
        <x:v>To Be Assessed</x:v>
      </x:c>
      <x:c r="L18" s="28" t="str">
        <x:v>Reduces recovery time and protects the shared lab.</x:v>
      </x:c>
      <x:c r="M18" s="28" t="str">
        <x:v>OPEN</x:v>
      </x:c>
    </x:row>
    <x:row r="19">
      <x:c r="A19" s="28" t="n">
        <x:v>15</x:v>
      </x:c>
      <x:c r="B19" s="32" t="n">
        <x:v>46224</x:v>
      </x:c>
      <x:c r="C19" s="28" t="str">
        <x:v>Project Controls</x:v>
      </x:c>
      <x:c r="D19" s="28" t="str">
        <x:v>TBD</x:v>
      </x:c>
      <x:c r="E19" s="32" t="n">
        <x:v>46229</x:v>
      </x:c>
      <x:c r="F19" s="28" t="str">
        <x:v>CTR / PMP / NCD</x:v>
      </x:c>
      <x:c r="G19" s="28" t="str">
        <x:v>Security design</x:v>
      </x:c>
      <x:c r="H19" s="28" t="str">
        <x:v>Confirm the expected service account name and least-privilege requirement for the systemd service.</x:v>
      </x:c>
      <x:c r="I19" s="28" t="str">
        <x:v>No</x:v>
      </x:c>
      <x:c r="J19" s="28"/>
      <x:c r="K19" s="28" t="str">
        <x:v>To Be Assessed</x:v>
      </x:c>
      <x:c r="L19" s="28" t="str">
        <x:v>Demonstrates separation between administration and service execution.</x:v>
      </x:c>
      <x:c r="M19" s="28" t="str">
        <x:v>OPEN</x:v>
      </x:c>
    </x:row>
    <x:row r="20">
      <x:c r="A20" s="28" t="n">
        <x:v>16</x:v>
      </x:c>
      <x:c r="B20" s="32" t="n">
        <x:v>46224</x:v>
      </x:c>
      <x:c r="C20" s="28" t="str">
        <x:v>Project Controls</x:v>
      </x:c>
      <x:c r="D20" s="28" t="str">
        <x:v>TBD</x:v>
      </x:c>
      <x:c r="E20" s="32" t="n">
        <x:v>46229</x:v>
      </x:c>
      <x:c r="F20" s="28" t="str">
        <x:v>CTR / PMP / NCD</x:v>
      </x:c>
      <x:c r="G20" s="28" t="str">
        <x:v>Scope control</x:v>
      </x:c>
      <x:c r="H20" s="28" t="str">
        <x:v>Confirm whether Cockpit or other optional monitoring interfaces are allowed; the core project does not require them.</x:v>
      </x:c>
      <x:c r="I20" s="28" t="str">
        <x:v>No</x:v>
      </x:c>
      <x:c r="J20" s="28"/>
      <x:c r="K20" s="28" t="str">
        <x:v>To Be Assessed</x:v>
      </x:c>
      <x:c r="L20" s="28" t="str">
        <x:v>Avoids unnecessary software and open ports.</x:v>
      </x:c>
      <x:c r="M20" s="28" t="str">
        <x:v>OPEN</x:v>
      </x:c>
    </x:row>
    <x:row r="21">
      <x:c r="A21" s="28" t="n">
        <x:v>17</x:v>
      </x:c>
      <x:c r="B21" s="32" t="n">
        <x:v>46224</x:v>
      </x:c>
      <x:c r="C21" s="28" t="str">
        <x:v>Project Controls</x:v>
      </x:c>
      <x:c r="D21" s="28" t="str">
        <x:v>TBD</x:v>
      </x:c>
      <x:c r="E21" s="32" t="n">
        <x:v>46229</x:v>
      </x:c>
      <x:c r="F21" s="28" t="str">
        <x:v>CTR / PMP / NCD</x:v>
      </x:c>
      <x:c r="G21" s="28" t="str">
        <x:v>Quality / acceptance</x:v>
      </x:c>
      <x:c r="H21" s="28" t="str">
        <x:v>Confirm the grading acceptance criteria and required pass mark for technical validation.</x:v>
      </x:c>
      <x:c r="I21" s="28" t="str">
        <x:v>No</x:v>
      </x:c>
      <x:c r="J21" s="28"/>
      <x:c r="K21" s="28" t="str">
        <x:v>To Be Assessed</x:v>
      </x:c>
      <x:c r="L21" s="28" t="str">
        <x:v>Students need measurable completion criteria.</x:v>
      </x:c>
      <x:c r="M21" s="28" t="str">
        <x:v>OPEN</x:v>
      </x:c>
    </x:row>
    <x:row r="22">
      <x:c r="A22" s="28" t="n">
        <x:v>18</x:v>
      </x:c>
      <x:c r="B22" s="32" t="n">
        <x:v>46224</x:v>
      </x:c>
      <x:c r="C22" s="28" t="str">
        <x:v>Project Controls</x:v>
      </x:c>
      <x:c r="D22" s="28" t="str">
        <x:v>TBD</x:v>
      </x:c>
      <x:c r="E22" s="32" t="n">
        <x:v>46229</x:v>
      </x:c>
      <x:c r="F22" s="28" t="str">
        <x:v>CTR / PMP / NCD</x:v>
      </x:c>
      <x:c r="G22" s="28" t="str">
        <x:v>Operational safety</x:v>
      </x:c>
      <x:c r="H22" s="28" t="str">
        <x:v>Confirm the maximum time allowed for the high-CPU fault simulation.</x:v>
      </x:c>
      <x:c r="I22" s="28" t="str">
        <x:v>No</x:v>
      </x:c>
      <x:c r="J22" s="28"/>
      <x:c r="K22" s="28" t="str">
        <x:v>To Be Assessed</x:v>
      </x:c>
      <x:c r="L22" s="28" t="str">
        <x:v>Prevents excessive shared-host resource consumption.</x:v>
      </x:c>
      <x:c r="M22" s="28" t="str">
        <x:v>OPEN</x:v>
      </x:c>
    </x:row>
    <x:row r="23">
      <x:c r="A23" s="28" t="n">
        <x:v>19</x:v>
      </x:c>
      <x:c r="B23" s="32" t="n">
        <x:v>46224</x:v>
      </x:c>
      <x:c r="C23" s="28" t="str">
        <x:v>Project Controls</x:v>
      </x:c>
      <x:c r="D23" s="28" t="str">
        <x:v>TBD</x:v>
      </x:c>
      <x:c r="E23" s="32" t="n">
        <x:v>46229</x:v>
      </x:c>
      <x:c r="F23" s="28" t="str">
        <x:v>CTR / PMP / NCD</x:v>
      </x:c>
      <x:c r="G23" s="28" t="str">
        <x:v>Incident escalation</x:v>
      </x:c>
      <x:c r="H23" s="28" t="str">
        <x:v>Confirm the process for reporting an unexpected VM failure or damage to another student's environment.</x:v>
      </x:c>
      <x:c r="I23" s="28" t="str">
        <x:v>No</x:v>
      </x:c>
      <x:c r="J23" s="28"/>
      <x:c r="K23" s="28" t="str">
        <x:v>To Be Assessed</x:v>
      </x:c>
      <x:c r="L23" s="28" t="str">
        <x:v>Ensures rapid containment and accountability.</x:v>
      </x:c>
      <x:c r="M23" s="28" t="str">
        <x:v>OPEN</x:v>
      </x:c>
    </x:row>
    <x:row r="24">
      <x:c r="A24" s="28" t="n">
        <x:v>20</x:v>
      </x:c>
      <x:c r="B24" s="32" t="n">
        <x:v>46224</x:v>
      </x:c>
      <x:c r="C24" s="28" t="str">
        <x:v>Project Controls</x:v>
      </x:c>
      <x:c r="D24" s="28" t="str">
        <x:v>TBD</x:v>
      </x:c>
      <x:c r="E24" s="32" t="n">
        <x:v>46229</x:v>
      </x:c>
      <x:c r="F24" s="28" t="str">
        <x:v>CTR / PMP / NCD</x:v>
      </x:c>
      <x:c r="G24" s="28" t="str">
        <x:v>Deliverable control</x:v>
      </x:c>
      <x:c r="H24" s="28" t="str">
        <x:v>Confirm the final deliverable list: CTR, PMP, NCD, ITQ, Schedule, FDS, validation evidence, incident report and presentation.</x:v>
      </x:c>
      <x:c r="I24" s="28" t="str">
        <x:v>No</x:v>
      </x:c>
      <x:c r="J24" s="28"/>
      <x:c r="K24" s="28" t="str">
        <x:v>To Be Assessed</x:v>
      </x:c>
      <x:c r="L24" s="28" t="str">
        <x:v>Prevents scope dispute and missing business documents.</x:v>
      </x:c>
      <x:c r="M24" s="28" t="str">
        <x:v>OPEN</x:v>
      </x:c>
    </x:row>
  </x:sheetData>
  <x:mergeCells>
    <x:mergeCell ref="A1:M1"/>
    <x:mergeCell ref="A2:M2"/>
  </x:mergeCells>
  <x:conditionalFormatting sqref="M5:M24">
    <x:cfRule type="expression" dxfId="0" priority="1">
      <x:formula>M5="Complete"</x:formula>
    </x:cfRule>
    <x:cfRule type="expression" dxfId="1" priority="2">
      <x:formula>M5="In Progress"</x:formula>
    </x:cfRule>
    <x:cfRule type="expression" dxfId="2" priority="3">
      <x:formula>M5="Failed"</x:formula>
    </x:cfRule>
    <x:cfRule type="expression" dxfId="3" priority="4">
      <x:formula>M5="Approved"</x:formula>
    </x:cfRule>
    <x:cfRule type="expression" dxfId="4" priority="5">
      <x:formula>M5="Pending"</x:formula>
    </x:cfRule>
  </x:conditionalFormatting>
  <x:dataValidations count="3">
    <x:dataValidation type="list" sqref="M5:M24">
      <x:formula1>"OPEN,IN REVIEW,ANSWERED,CLOSED,ON HOLD"</x:formula1>
    </x:dataValidation>
    <x:dataValidation type="list" sqref="I5:I24">
      <x:formula1>"Yes,No,Partial,Not Applicable"</x:formula1>
    </x:dataValidation>
    <x:dataValidation type="list" sqref="K5:K24">
      <x:formula1>"None,Low,Medium,High,To Be Assessed"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38" hidden="0" customWidth="1"/>
    <x:col min="6" max="6" width="28" hidden="0" customWidth="1"/>
    <x:col min="7" max="7" width="24" hidden="0" customWidth="1"/>
    <x:col min="8" max="8" width="20" hidden="0" customWidth="1"/>
  </x:cols>
  <x:sheetData>
    <x:row r="1" ht="30" customHeight="1">
      <x:c r="A1" s="5" t="str">
        <x:v>ITQ Summary and Decision Dashboard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Management view of open business and technical decisions.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Metric</x:v>
      </x:c>
      <x:c r="B4" s="20" t="str">
        <x:v>Value</x:v>
      </x:c>
      <x:c r="C4" s="20" t="str">
        <x:v>Target</x:v>
      </x:c>
      <x:c r="D4" s="20" t="str">
        <x:v>Interpretation</x:v>
      </x:c>
      <x:c r="F4" s="20" t="str">
        <x:v>Decision Category</x:v>
      </x:c>
      <x:c r="G4" s="20" t="str">
        <x:v>Owner</x:v>
      </x:c>
      <x:c r="H4" s="20" t="str">
        <x:v>Required Before</x:v>
      </x:c>
    </x:row>
    <x:row r="5">
      <x:c r="A5" s="28" t="str">
        <x:v>Total Queries</x:v>
      </x:c>
      <x:c r="B5" s="28" t="n">
        <x:f>COUNTA('Interface Technical Query'!A5:A100)</x:f>
        <x:v>20</x:v>
      </x:c>
      <x:c r="C5" s="28" t="n">
        <x:v>20</x:v>
      </x:c>
      <x:c r="D5" s="28" t="str">
        <x:v>All required inputs identified</x:v>
      </x:c>
      <x:c r="F5" s="28" t="str">
        <x:v>Class Size / VM Capacity</x:v>
      </x:c>
      <x:c r="G5" s="28" t="str">
        <x:v>Project Manager / Lab Admin</x:v>
      </x:c>
      <x:c r="H5" s="28" t="str">
        <x:v>Schedule Baseline</x:v>
      </x:c>
    </x:row>
    <x:row r="6">
      <x:c r="A6" s="28" t="str">
        <x:v>Open Queries</x:v>
      </x:c>
      <x:c r="B6" s="28" t="n">
        <x:f>COUNTIF('Interface Technical Query'!M5:M100,"OPEN")</x:f>
        <x:v>20</x:v>
      </x:c>
      <x:c r="C6" s="28" t="n">
        <x:v>0</x:v>
      </x:c>
      <x:c r="D6" s="28" t="str">
        <x:v>Must be closed or accepted before Go / No-Go</x:v>
      </x:c>
      <x:c r="F6" s="28" t="str">
        <x:v>Root Access / Credentials</x:v>
      </x:c>
      <x:c r="G6" s="28" t="str">
        <x:v>Lab Administrator</x:v>
      </x:c>
      <x:c r="H6" s="28" t="str">
        <x:v>Go / No-Go</x:v>
      </x:c>
    </x:row>
    <x:row r="7">
      <x:c r="A7" s="28" t="str">
        <x:v>Closed Queries</x:v>
      </x:c>
      <x:c r="B7" s="28" t="n">
        <x:f>COUNTIF('Interface Technical Query'!M5:M100,"CLOSED")</x:f>
        <x:v>0</x:v>
      </x:c>
      <x:c r="C7" s="28" t="n">
        <x:v>20</x:v>
      </x:c>
      <x:c r="D7" s="28" t="str">
        <x:v>Evidence/reference must be recorded</x:v>
      </x:c>
      <x:c r="F7" s="28" t="str">
        <x:v>Snapshot / Rollback</x:v>
      </x:c>
      <x:c r="G7" s="28" t="str">
        <x:v>Lab Administrator</x:v>
      </x:c>
      <x:c r="H7" s="28" t="str">
        <x:v>Go / No-Go</x:v>
      </x:c>
    </x:row>
    <x:row r="8">
      <x:c r="A8" s="28" t="str">
        <x:v>High-Impact Queries</x:v>
      </x:c>
      <x:c r="B8" s="28" t="n">
        <x:f>COUNTIF('Interface Technical Query'!K5:K100,"High")</x:f>
        <x:v>0</x:v>
      </x:c>
      <x:c r="C8" s="28" t="n">
        <x:v>0</x:v>
      </x:c>
      <x:c r="D8" s="28" t="str">
        <x:v>Escalate to Project Sponsor / PM</x:v>
      </x:c>
      <x:c r="F8" s="28" t="str">
        <x:v>Evidence / Document Control</x:v>
      </x:c>
      <x:c r="G8" s="28" t="str">
        <x:v>Document Controller</x:v>
      </x:c>
      <x:c r="H8" s="28" t="str">
        <x:v>Implementation</x:v>
      </x:c>
    </x:row>
    <x:row r="9">
      <x:c r="F9" s="28" t="str">
        <x:v>Privacy / Synthetic Data</x:v>
      </x:c>
      <x:c r="G9" s="28" t="str">
        <x:v>Business Owner</x:v>
      </x:c>
      <x:c r="H9" s="28" t="str">
        <x:v>Project Approval</x:v>
      </x:c>
    </x:row>
    <x:row r="10">
      <x:c r="F10" s="28" t="str">
        <x:v>Acceptance / Grading</x:v>
      </x:c>
      <x:c r="G10" s="28" t="str">
        <x:v>Instructor</x:v>
      </x:c>
      <x:c r="H10" s="28" t="str">
        <x:v>Validation</x:v>
      </x:c>
    </x:row>
    <x:row r="11">
      <x:c r="F11" s="28" t="str">
        <x:v>Final Deliverables</x:v>
      </x:c>
      <x:c r="G11" s="28" t="str">
        <x:v>Project Manager</x:v>
      </x:c>
      <x:c r="H11" s="28" t="str">
        <x:v>Project Closure</x:v>
      </x:c>
    </x:row>
  </x:sheetData>
  <x:mergeCells>
    <x:mergeCell ref="A1:H1"/>
    <x:mergeCell ref="A2:H2"/>
  </x:mergeCells>
  <x:pageMargins left="0.7" right="0.7" top="0.75" bottom="0.75" header="0.3" footer="0.3"/>
</x:worksheet>
</file>